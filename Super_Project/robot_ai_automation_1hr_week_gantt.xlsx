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ee1911d2c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lan" sheetId="1" r:id="R0ba034e4a87a4da4"/>
    <x:sheet xmlns:r="http://schemas.openxmlformats.org/officeDocument/2006/relationships" name="Weekly Log" sheetId="2" r:id="R9bec92ca81c14338"/>
    <x:sheet xmlns:r="http://schemas.openxmlformats.org/officeDocument/2006/relationships" name="Scope" sheetId="3" r:id="R8f0340bd8f694369"/>
    <x:sheet xmlns:r="http://schemas.openxmlformats.org/officeDocument/2006/relationships" name="Summary" sheetId="4" r:id="R56700547a800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ont>
        <x:color rgb="FF4472C4"/>
      </x:font>
      <x:fill>
        <x:patternFill patternType="solid">
          <x:bgColor rgb="FF4472C4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6614dbefc4230" /><Relationship Type="http://schemas.openxmlformats.org/officeDocument/2006/relationships/theme" Target="/xl/theme/theme1.xml" Id="R85560006c2d44e24" /><Relationship Type="http://schemas.openxmlformats.org/officeDocument/2006/relationships/sharedStrings" Target="/xl/sharedStrings.xml" Id="R41a8e33317ad4f27" /><Relationship Type="http://schemas.openxmlformats.org/officeDocument/2006/relationships/worksheet" Target="/xl/worksheets/sheet1.xml" Id="R0ba034e4a87a4da4" /><Relationship Type="http://schemas.openxmlformats.org/officeDocument/2006/relationships/worksheet" Target="/xl/worksheets/sheet2.xml" Id="R9bec92ca81c14338" /><Relationship Type="http://schemas.openxmlformats.org/officeDocument/2006/relationships/worksheet" Target="/xl/worksheets/sheet3.xml" Id="R8f0340bd8f694369" /><Relationship Type="http://schemas.openxmlformats.org/officeDocument/2006/relationships/worksheet" Target="/xl/worksheets/sheet4.xml" Id="R56700547a8004a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c3894055a94d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Hours</c:v>
          </c:tx>
          <c:cat>
            <c:strRef>
              <c:f>'Summary'!$A$4:$A$11</c:f>
              <c:strCache>
                <c:ptCount val="0"/>
              </c:strCache>
            </c:strRef>
          </c:cat>
          <c:val>
            <c:numRef>
              <c:f>'Summary'!$B$4:$B$11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3894055a94d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nttTable" displayName="GanttTable" ref="A6:AH32" headerRowCount="1">
  <x:tableColumns count="34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06/07"/>
    <x:tableColumn id="10" name="13/07"/>
    <x:tableColumn id="11" name="20/07"/>
    <x:tableColumn id="12" name="27/07"/>
    <x:tableColumn id="13" name="03/08"/>
    <x:tableColumn id="14" name="10/08"/>
    <x:tableColumn id="15" name="17/08"/>
    <x:tableColumn id="16" name="24/08"/>
    <x:tableColumn id="17" name="31/08"/>
    <x:tableColumn id="18" name="07/09"/>
    <x:tableColumn id="19" name="14/09"/>
    <x:tableColumn id="20" name="21/09"/>
    <x:tableColumn id="21" name="28/09"/>
    <x:tableColumn id="22" name="05/10"/>
    <x:tableColumn id="23" name="12/10"/>
    <x:tableColumn id="24" name="19/10"/>
    <x:tableColumn id="25" name="26/10"/>
    <x:tableColumn id="26" name="02/11"/>
    <x:tableColumn id="27" name="09/11"/>
    <x:tableColumn id="28" name="16/11"/>
    <x:tableColumn id="29" name="23/11"/>
    <x:tableColumn id="30" name="30/11"/>
    <x:tableColumn id="31" name="07/12"/>
    <x:tableColumn id="32" name="14/12"/>
    <x:tableColumn id="33" name="21/12"/>
    <x:tableColumn id="34" name="28/12"/>
  </x:tableColumns>
  <x:tableStyleInfo name="TableStyleMedium2" showRowStripes="1"/>
</x:table>
</file>

<file path=xl/tables/table2.xml><?xml version="1.0" encoding="utf-8"?>
<x:table xmlns:x="http://schemas.openxmlformats.org/spreadsheetml/2006/main" id="2" name="WeeklyLogTable" displayName="WeeklyLogTable" ref="A1:H27" headerRowCount="1">
  <x:tableColumns count="8">
    <x:tableColumn id="1" name="Week"/>
    <x:tableColumn id="2" name="Week starting"/>
    <x:tableColumn id="3" name="Planned task"/>
    <x:tableColumn id="4" name="Actual work completed"/>
    <x:tableColumn id="5" name="Time spent (hrs)"/>
    <x:tableColumn id="6" name="Evidence/link"/>
    <x:tableColumn id="7" name="Notes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tageSummaryTable" displayName="StageSummaryTable" ref="A3:C11" headerRowCount="1">
  <x:tableColumns count="3">
    <x:tableColumn id="1" name="Stage"/>
    <x:tableColumn id="2" name="Planned hours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0fc7f0c6e4e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6d520b1fcf4b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1d9454d4b404437" /><Relationship Type="http://schemas.openxmlformats.org/officeDocument/2006/relationships/table" Target="/xl/tables/table3.xml" Id="Rbef13eb5452f4a9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12" hidden="0" customWidth="1"/>
    <x:col min="5" max="5" width="12" hidden="0" customWidth="1"/>
    <x:col min="6" max="6" width="11" hidden="0" customWidth="1"/>
    <x:col min="7" max="7" width="11" hidden="0" customWidth="1"/>
    <x:col min="8" max="8" width="38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</x:cols>
  <x:sheetData>
    <x:row r="1">
      <x:c r="A1" s="36" t="str">
        <x:v>Robot AI Automation Practice Project - 1 Hour per Week Gantt Plan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</x:row>
    <x:row r="2">
      <x:c r="A2" s="38" t="str">
        <x:v>Start</x:v>
      </x:c>
      <x:c r="B2" s="39" t="n">
        <x:v>46209</x:v>
      </x:c>
      <x:c r="C2" s="40" t="str">
        <x:v>End</x:v>
      </x:c>
      <x:c r="D2" s="39" t="n">
        <x:v>46390</x:v>
      </x:c>
      <x:c r="E2" s="38" t="str">
        <x:v>Total hours</x:v>
      </x:c>
      <x:c r="F2" s="37" t="n">
        <x:v>26</x:v>
      </x:c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</x:row>
    <x:row r="3">
      <x:c r="A3" s="38" t="str">
        <x:v>Design principle</x:v>
      </x:c>
      <x:c r="B3" s="41" t="str">
        <x:v>Simple block model + rough sizing + simulation evidence</x:v>
      </x:c>
      <x:c r="C3" s="38" t="str"/>
      <x:c r="D3" s="37" t="str"/>
      <x:c r="E3" s="38" t="str"/>
      <x:c r="F3" s="37" t="str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</x:row>
    <x:row r="5">
      <x:c r="A5" s="27" t="str">
        <x:v>Stage</x:v>
      </x:c>
      <x:c r="B5" s="27" t="str">
        <x:v>Task</x:v>
      </x:c>
      <x:c r="C5" s="27" t="str">
        <x:v>Simple weekly outcome</x:v>
      </x:c>
      <x:c r="D5" s="27" t="str">
        <x:v>Start</x:v>
      </x:c>
      <x:c r="E5" s="27" t="str">
        <x:v>End</x:v>
      </x:c>
      <x:c r="F5" s="27" t="str">
        <x:v>Hours</x:v>
      </x:c>
      <x:c r="G5" s="27" t="str">
        <x:v>Status</x:v>
      </x:c>
      <x:c r="H5" s="27" t="str">
        <x:v>Notes</x:v>
      </x:c>
      <x:c r="I5" s="27" t="str">
        <x:v>W1</x:v>
      </x:c>
      <x:c r="J5" s="27" t="str">
        <x:v>W2</x:v>
      </x:c>
      <x:c r="K5" s="27" t="str">
        <x:v>W3</x:v>
      </x:c>
      <x:c r="L5" s="27" t="str">
        <x:v>W4</x:v>
      </x:c>
      <x:c r="M5" s="27" t="str">
        <x:v>W5</x:v>
      </x:c>
      <x:c r="N5" s="27" t="str">
        <x:v>W6</x:v>
      </x:c>
      <x:c r="O5" s="27" t="str">
        <x:v>W7</x:v>
      </x:c>
      <x:c r="P5" s="27" t="str">
        <x:v>W8</x:v>
      </x:c>
      <x:c r="Q5" s="27" t="str">
        <x:v>W9</x:v>
      </x:c>
      <x:c r="R5" s="27" t="str">
        <x:v>W10</x:v>
      </x:c>
      <x:c r="S5" s="27" t="str">
        <x:v>W11</x:v>
      </x:c>
      <x:c r="T5" s="27" t="str">
        <x:v>W12</x:v>
      </x:c>
      <x:c r="U5" s="27" t="str">
        <x:v>W13</x:v>
      </x:c>
      <x:c r="V5" s="27" t="str">
        <x:v>W14</x:v>
      </x:c>
      <x:c r="W5" s="27" t="str">
        <x:v>W15</x:v>
      </x:c>
      <x:c r="X5" s="27" t="str">
        <x:v>W16</x:v>
      </x:c>
      <x:c r="Y5" s="27" t="str">
        <x:v>W17</x:v>
      </x:c>
      <x:c r="Z5" s="27" t="str">
        <x:v>W18</x:v>
      </x:c>
      <x:c r="AA5" s="27" t="str">
        <x:v>W19</x:v>
      </x:c>
      <x:c r="AB5" s="27" t="str">
        <x:v>W20</x:v>
      </x:c>
      <x:c r="AC5" s="27" t="str">
        <x:v>W21</x:v>
      </x:c>
      <x:c r="AD5" s="27" t="str">
        <x:v>W22</x:v>
      </x:c>
      <x:c r="AE5" s="27" t="str">
        <x:v>W23</x:v>
      </x:c>
      <x:c r="AF5" s="27" t="str">
        <x:v>W24</x:v>
      </x:c>
      <x:c r="AG5" s="27" t="str">
        <x:v>W25</x:v>
      </x:c>
      <x:c r="AH5" s="27" t="str">
        <x:v>W26</x:v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 t="str">
        <x:v>06/07</x:v>
      </x:c>
      <x:c r="J6" s="27" t="str">
        <x:v>13/07</x:v>
      </x:c>
      <x:c r="K6" s="27" t="str">
        <x:v>20/07</x:v>
      </x:c>
      <x:c r="L6" s="27" t="str">
        <x:v>27/07</x:v>
      </x:c>
      <x:c r="M6" s="27" t="str">
        <x:v>03/08</x:v>
      </x:c>
      <x:c r="N6" s="27" t="str">
        <x:v>10/08</x:v>
      </x:c>
      <x:c r="O6" s="27" t="str">
        <x:v>17/08</x:v>
      </x:c>
      <x:c r="P6" s="27" t="str">
        <x:v>24/08</x:v>
      </x:c>
      <x:c r="Q6" s="27" t="str">
        <x:v>31/08</x:v>
      </x:c>
      <x:c r="R6" s="27" t="str">
        <x:v>07/09</x:v>
      </x:c>
      <x:c r="S6" s="27" t="str">
        <x:v>14/09</x:v>
      </x:c>
      <x:c r="T6" s="27" t="str">
        <x:v>21/09</x:v>
      </x:c>
      <x:c r="U6" s="27" t="str">
        <x:v>28/09</x:v>
      </x:c>
      <x:c r="V6" s="27" t="str">
        <x:v>05/10</x:v>
      </x:c>
      <x:c r="W6" s="27" t="str">
        <x:v>12/10</x:v>
      </x:c>
      <x:c r="X6" s="27" t="str">
        <x:v>19/10</x:v>
      </x:c>
      <x:c r="Y6" s="27" t="str">
        <x:v>26/10</x:v>
      </x:c>
      <x:c r="Z6" s="27" t="str">
        <x:v>02/11</x:v>
      </x:c>
      <x:c r="AA6" s="27" t="str">
        <x:v>09/11</x:v>
      </x:c>
      <x:c r="AB6" s="27" t="str">
        <x:v>16/11</x:v>
      </x:c>
      <x:c r="AC6" s="27" t="str">
        <x:v>23/11</x:v>
      </x:c>
      <x:c r="AD6" s="27" t="str">
        <x:v>30/11</x:v>
      </x:c>
      <x:c r="AE6" s="27" t="str">
        <x:v>07/12</x:v>
      </x:c>
      <x:c r="AF6" s="27" t="str">
        <x:v>14/12</x:v>
      </x:c>
      <x:c r="AG6" s="27" t="str">
        <x:v>21/12</x:v>
      </x:c>
      <x:c r="AH6" s="27" t="str">
        <x:v>28/12</x:v>
      </x:c>
    </x:row>
    <x:row r="7">
      <x:c r="A7" s="41" t="str">
        <x:v>Stage 0</x:v>
      </x:c>
      <x:c r="B7" s="41" t="str">
        <x:v>Project setup</x:v>
      </x:c>
      <x:c r="C7" s="41" t="str">
        <x:v>Create repo, folder structure, README, and one-page project aim</x:v>
      </x:c>
      <x:c r="D7" s="42" t="n">
        <x:v>46209</x:v>
      </x:c>
      <x:c r="E7" s="42" t="n">
        <x:v>46215</x:v>
      </x:c>
      <x:c r="F7" s="43" t="n">
        <x:v>1</x:v>
      </x:c>
      <x:c r="G7" s="41" t="str">
        <x:v>Not Started</x:v>
      </x:c>
      <x:c r="H7" s="41" t="str">
        <x:v>Keep scope small: simple 2-link desktop arm or gantry concept.</x:v>
      </x:c>
      <x:c r="I7" s="53" t="str">
        <x:f>IF(AND(I$6&gt;=$D7,I$6&lt;=$E7),1,"")</x:f>
      </x:c>
      <x:c r="J7" s="53" t="str">
        <x:f>IF(AND(J$6&gt;=$D7,J$6&lt;=$E7),1,"")</x:f>
      </x:c>
      <x:c r="K7" s="53" t="str">
        <x:f>IF(AND(K$6&gt;=$D7,K$6&lt;=$E7),1,"")</x:f>
      </x:c>
      <x:c r="L7" s="53" t="str">
        <x:f>IF(AND(L$6&gt;=$D7,L$6&lt;=$E7),1,"")</x:f>
      </x:c>
      <x:c r="M7" s="53" t="str">
        <x:f>IF(AND(M$6&gt;=$D7,M$6&lt;=$E7),1,"")</x:f>
      </x:c>
      <x:c r="N7" s="53" t="str">
        <x:f>IF(AND(N$6&gt;=$D7,N$6&lt;=$E7),1,"")</x:f>
      </x:c>
      <x:c r="O7" s="53" t="str">
        <x:f>IF(AND(O$6&gt;=$D7,O$6&lt;=$E7),1,"")</x:f>
      </x:c>
      <x:c r="P7" s="53" t="str">
        <x:f>IF(AND(P$6&gt;=$D7,P$6&lt;=$E7),1,"")</x:f>
      </x:c>
      <x:c r="Q7" s="53" t="str">
        <x:f>IF(AND(Q$6&gt;=$D7,Q$6&lt;=$E7),1,"")</x:f>
      </x:c>
      <x:c r="R7" s="53" t="str">
        <x:f>IF(AND(R$6&gt;=$D7,R$6&lt;=$E7),1,"")</x:f>
      </x:c>
      <x:c r="S7" s="53" t="str">
        <x:f>IF(AND(S$6&gt;=$D7,S$6&lt;=$E7),1,"")</x:f>
      </x:c>
      <x:c r="T7" s="53" t="str">
        <x:f>IF(AND(T$6&gt;=$D7,T$6&lt;=$E7),1,"")</x:f>
      </x:c>
      <x:c r="U7" s="53" t="str">
        <x:f>IF(AND(U$6&gt;=$D7,U$6&lt;=$E7),1,"")</x:f>
      </x:c>
      <x:c r="V7" s="53" t="str">
        <x:f>IF(AND(V$6&gt;=$D7,V$6&lt;=$E7),1,"")</x:f>
      </x:c>
      <x:c r="W7" s="53" t="str">
        <x:f>IF(AND(W$6&gt;=$D7,W$6&lt;=$E7),1,"")</x:f>
      </x:c>
      <x:c r="X7" s="53" t="str">
        <x:f>IF(AND(X$6&gt;=$D7,X$6&lt;=$E7),1,"")</x:f>
      </x:c>
      <x:c r="Y7" s="53" t="str">
        <x:f>IF(AND(Y$6&gt;=$D7,Y$6&lt;=$E7),1,"")</x:f>
      </x:c>
      <x:c r="Z7" s="53" t="str">
        <x:f>IF(AND(Z$6&gt;=$D7,Z$6&lt;=$E7),1,"")</x:f>
      </x:c>
      <x:c r="AA7" s="53" t="str">
        <x:f>IF(AND(AA$6&gt;=$D7,AA$6&lt;=$E7),1,"")</x:f>
      </x:c>
      <x:c r="AB7" s="53" t="str">
        <x:f>IF(AND(AB$6&gt;=$D7,AB$6&lt;=$E7),1,"")</x:f>
      </x:c>
      <x:c r="AC7" s="53" t="str">
        <x:f>IF(AND(AC$6&gt;=$D7,AC$6&lt;=$E7),1,"")</x:f>
      </x:c>
      <x:c r="AD7" s="53" t="str">
        <x:f>IF(AND(AD$6&gt;=$D7,AD$6&lt;=$E7),1,"")</x:f>
      </x:c>
      <x:c r="AE7" s="53" t="str">
        <x:f>IF(AND(AE$6&gt;=$D7,AE$6&lt;=$E7),1,"")</x:f>
      </x:c>
      <x:c r="AF7" s="53" t="str">
        <x:f>IF(AND(AF$6&gt;=$D7,AF$6&lt;=$E7),1,"")</x:f>
      </x:c>
      <x:c r="AG7" s="53" t="str">
        <x:f>IF(AND(AG$6&gt;=$D7,AG$6&lt;=$E7),1,"")</x:f>
      </x:c>
      <x:c r="AH7" s="53" t="str">
        <x:f>IF(AND(AH$6&gt;=$D7,AH$6&lt;=$E7),1,"")</x:f>
      </x:c>
    </x:row>
    <x:row r="8">
      <x:c r="A8" s="41" t="str">
        <x:v>Stage 1</x:v>
      </x:c>
      <x:c r="B8" s="41" t="str">
        <x:v>Requirements</x:v>
      </x:c>
      <x:c r="C8" s="41" t="str">
        <x:v>Define what the demo robot must do, constraints, and success criteria</x:v>
      </x:c>
      <x:c r="D8" s="42" t="n">
        <x:v>46216</x:v>
      </x:c>
      <x:c r="E8" s="42" t="n">
        <x:v>46222</x:v>
      </x:c>
      <x:c r="F8" s="43" t="n">
        <x:v>1</x:v>
      </x:c>
      <x:c r="G8" s="41" t="str">
        <x:v>Not Started</x:v>
      </x:c>
      <x:c r="H8" s="41" t="str">
        <x:v>Target: show capability, not build production robot.</x:v>
      </x:c>
      <x:c r="I8" s="53" t="str">
        <x:f>IF(AND(I$6&gt;=$D8,I$6&lt;=$E8),1,"")</x:f>
      </x:c>
      <x:c r="J8" s="53" t="str">
        <x:f>IF(AND(J$6&gt;=$D8,J$6&lt;=$E8),1,"")</x:f>
      </x:c>
      <x:c r="K8" s="53" t="str">
        <x:f>IF(AND(K$6&gt;=$D8,K$6&lt;=$E8),1,"")</x:f>
      </x:c>
      <x:c r="L8" s="53" t="str">
        <x:f>IF(AND(L$6&gt;=$D8,L$6&lt;=$E8),1,"")</x:f>
      </x:c>
      <x:c r="M8" s="53" t="str">
        <x:f>IF(AND(M$6&gt;=$D8,M$6&lt;=$E8),1,"")</x:f>
      </x:c>
      <x:c r="N8" s="53" t="str">
        <x:f>IF(AND(N$6&gt;=$D8,N$6&lt;=$E8),1,"")</x:f>
      </x:c>
      <x:c r="O8" s="53" t="str">
        <x:f>IF(AND(O$6&gt;=$D8,O$6&lt;=$E8),1,"")</x:f>
      </x:c>
      <x:c r="P8" s="53" t="str">
        <x:f>IF(AND(P$6&gt;=$D8,P$6&lt;=$E8),1,"")</x:f>
      </x:c>
      <x:c r="Q8" s="53" t="str">
        <x:f>IF(AND(Q$6&gt;=$D8,Q$6&lt;=$E8),1,"")</x:f>
      </x:c>
      <x:c r="R8" s="53" t="str">
        <x:f>IF(AND(R$6&gt;=$D8,R$6&lt;=$E8),1,"")</x:f>
      </x:c>
      <x:c r="S8" s="53" t="str">
        <x:f>IF(AND(S$6&gt;=$D8,S$6&lt;=$E8),1,"")</x:f>
      </x:c>
      <x:c r="T8" s="53" t="str">
        <x:f>IF(AND(T$6&gt;=$D8,T$6&lt;=$E8),1,"")</x:f>
      </x:c>
      <x:c r="U8" s="53" t="str">
        <x:f>IF(AND(U$6&gt;=$D8,U$6&lt;=$E8),1,"")</x:f>
      </x:c>
      <x:c r="V8" s="53" t="str">
        <x:f>IF(AND(V$6&gt;=$D8,V$6&lt;=$E8),1,"")</x:f>
      </x:c>
      <x:c r="W8" s="53" t="str">
        <x:f>IF(AND(W$6&gt;=$D8,W$6&lt;=$E8),1,"")</x:f>
      </x:c>
      <x:c r="X8" s="53" t="str">
        <x:f>IF(AND(X$6&gt;=$D8,X$6&lt;=$E8),1,"")</x:f>
      </x:c>
      <x:c r="Y8" s="53" t="str">
        <x:f>IF(AND(Y$6&gt;=$D8,Y$6&lt;=$E8),1,"")</x:f>
      </x:c>
      <x:c r="Z8" s="53" t="str">
        <x:f>IF(AND(Z$6&gt;=$D8,Z$6&lt;=$E8),1,"")</x:f>
      </x:c>
      <x:c r="AA8" s="53" t="str">
        <x:f>IF(AND(AA$6&gt;=$D8,AA$6&lt;=$E8),1,"")</x:f>
      </x:c>
      <x:c r="AB8" s="53" t="str">
        <x:f>IF(AND(AB$6&gt;=$D8,AB$6&lt;=$E8),1,"")</x:f>
      </x:c>
      <x:c r="AC8" s="53" t="str">
        <x:f>IF(AND(AC$6&gt;=$D8,AC$6&lt;=$E8),1,"")</x:f>
      </x:c>
      <x:c r="AD8" s="53" t="str">
        <x:f>IF(AND(AD$6&gt;=$D8,AD$6&lt;=$E8),1,"")</x:f>
      </x:c>
      <x:c r="AE8" s="53" t="str">
        <x:f>IF(AND(AE$6&gt;=$D8,AE$6&lt;=$E8),1,"")</x:f>
      </x:c>
      <x:c r="AF8" s="53" t="str">
        <x:f>IF(AND(AF$6&gt;=$D8,AF$6&lt;=$E8),1,"")</x:f>
      </x:c>
      <x:c r="AG8" s="53" t="str">
        <x:f>IF(AND(AG$6&gt;=$D8,AG$6&lt;=$E8),1,"")</x:f>
      </x:c>
      <x:c r="AH8" s="53" t="str">
        <x:f>IF(AND(AH$6&gt;=$D8,AH$6&lt;=$E8),1,"")</x:f>
      </x:c>
    </x:row>
    <x:row r="9">
      <x:c r="A9" s="41" t="str">
        <x:v>Stage 1</x:v>
      </x:c>
      <x:c r="B9" s="41" t="str">
        <x:v>Simple robot concept</x:v>
      </x:c>
      <x:c r="C9" s="41" t="str">
        <x:v>Sketch 2-3 options and select one low-complexity concept</x:v>
      </x:c>
      <x:c r="D9" s="42" t="n">
        <x:v>46223</x:v>
      </x:c>
      <x:c r="E9" s="42" t="n">
        <x:v>46229</x:v>
      </x:c>
      <x:c r="F9" s="43" t="n">
        <x:v>1</x:v>
      </x:c>
      <x:c r="G9" s="41" t="str">
        <x:v>Not Started</x:v>
      </x:c>
      <x:c r="H9" s="41" t="str">
        <x:v>Recommended: 2-link planar arm or small 3-axis gantry.</x:v>
      </x:c>
      <x:c r="I9" s="53" t="str">
        <x:f>IF(AND(I$6&gt;=$D9,I$6&lt;=$E9),1,"")</x:f>
      </x:c>
      <x:c r="J9" s="53" t="str">
        <x:f>IF(AND(J$6&gt;=$D9,J$6&lt;=$E9),1,"")</x:f>
      </x:c>
      <x:c r="K9" s="53" t="str">
        <x:f>IF(AND(K$6&gt;=$D9,K$6&lt;=$E9),1,"")</x:f>
      </x:c>
      <x:c r="L9" s="53" t="str">
        <x:f>IF(AND(L$6&gt;=$D9,L$6&lt;=$E9),1,"")</x:f>
      </x:c>
      <x:c r="M9" s="53" t="str">
        <x:f>IF(AND(M$6&gt;=$D9,M$6&lt;=$E9),1,"")</x:f>
      </x:c>
      <x:c r="N9" s="53" t="str">
        <x:f>IF(AND(N$6&gt;=$D9,N$6&lt;=$E9),1,"")</x:f>
      </x:c>
      <x:c r="O9" s="53" t="str">
        <x:f>IF(AND(O$6&gt;=$D9,O$6&lt;=$E9),1,"")</x:f>
      </x:c>
      <x:c r="P9" s="53" t="str">
        <x:f>IF(AND(P$6&gt;=$D9,P$6&lt;=$E9),1,"")</x:f>
      </x:c>
      <x:c r="Q9" s="53" t="str">
        <x:f>IF(AND(Q$6&gt;=$D9,Q$6&lt;=$E9),1,"")</x:f>
      </x:c>
      <x:c r="R9" s="53" t="str">
        <x:f>IF(AND(R$6&gt;=$D9,R$6&lt;=$E9),1,"")</x:f>
      </x:c>
      <x:c r="S9" s="53" t="str">
        <x:f>IF(AND(S$6&gt;=$D9,S$6&lt;=$E9),1,"")</x:f>
      </x:c>
      <x:c r="T9" s="53" t="str">
        <x:f>IF(AND(T$6&gt;=$D9,T$6&lt;=$E9),1,"")</x:f>
      </x:c>
      <x:c r="U9" s="53" t="str">
        <x:f>IF(AND(U$6&gt;=$D9,U$6&lt;=$E9),1,"")</x:f>
      </x:c>
      <x:c r="V9" s="53" t="str">
        <x:f>IF(AND(V$6&gt;=$D9,V$6&lt;=$E9),1,"")</x:f>
      </x:c>
      <x:c r="W9" s="53" t="str">
        <x:f>IF(AND(W$6&gt;=$D9,W$6&lt;=$E9),1,"")</x:f>
      </x:c>
      <x:c r="X9" s="53" t="str">
        <x:f>IF(AND(X$6&gt;=$D9,X$6&lt;=$E9),1,"")</x:f>
      </x:c>
      <x:c r="Y9" s="53" t="str">
        <x:f>IF(AND(Y$6&gt;=$D9,Y$6&lt;=$E9),1,"")</x:f>
      </x:c>
      <x:c r="Z9" s="53" t="str">
        <x:f>IF(AND(Z$6&gt;=$D9,Z$6&lt;=$E9),1,"")</x:f>
      </x:c>
      <x:c r="AA9" s="53" t="str">
        <x:f>IF(AND(AA$6&gt;=$D9,AA$6&lt;=$E9),1,"")</x:f>
      </x:c>
      <x:c r="AB9" s="53" t="str">
        <x:f>IF(AND(AB$6&gt;=$D9,AB$6&lt;=$E9),1,"")</x:f>
      </x:c>
      <x:c r="AC9" s="53" t="str">
        <x:f>IF(AND(AC$6&gt;=$D9,AC$6&lt;=$E9),1,"")</x:f>
      </x:c>
      <x:c r="AD9" s="53" t="str">
        <x:f>IF(AND(AD$6&gt;=$D9,AD$6&lt;=$E9),1,"")</x:f>
      </x:c>
      <x:c r="AE9" s="53" t="str">
        <x:f>IF(AND(AE$6&gt;=$D9,AE$6&lt;=$E9),1,"")</x:f>
      </x:c>
      <x:c r="AF9" s="53" t="str">
        <x:f>IF(AND(AF$6&gt;=$D9,AF$6&lt;=$E9),1,"")</x:f>
      </x:c>
      <x:c r="AG9" s="53" t="str">
        <x:f>IF(AND(AG$6&gt;=$D9,AG$6&lt;=$E9),1,"")</x:f>
      </x:c>
      <x:c r="AH9" s="53" t="str">
        <x:f>IF(AND(AH$6&gt;=$D9,AH$6&lt;=$E9),1,"")</x:f>
      </x:c>
    </x:row>
    <x:row r="10">
      <x:c r="A10" s="41" t="str">
        <x:v>Stage 1</x:v>
      </x:c>
      <x:c r="B10" s="41" t="str">
        <x:v>Parameter list</x:v>
      </x:c>
      <x:c r="C10" s="41" t="str">
        <x:v>Create a short YAML/JSON parameter file for dimensions</x:v>
      </x:c>
      <x:c r="D10" s="42" t="n">
        <x:v>46230</x:v>
      </x:c>
      <x:c r="E10" s="42" t="n">
        <x:v>46236</x:v>
      </x:c>
      <x:c r="F10" s="43" t="n">
        <x:v>1</x:v>
      </x:c>
      <x:c r="G10" s="41" t="str">
        <x:v>Not Started</x:v>
      </x:c>
      <x:c r="H10" s="41" t="str">
        <x:v>Only include 8-12 parameters.</x:v>
      </x:c>
      <x:c r="I10" s="53" t="str">
        <x:f>IF(AND(I$6&gt;=$D10,I$6&lt;=$E10),1,"")</x:f>
      </x:c>
      <x:c r="J10" s="53" t="str">
        <x:f>IF(AND(J$6&gt;=$D10,J$6&lt;=$E10),1,"")</x:f>
      </x:c>
      <x:c r="K10" s="53" t="str">
        <x:f>IF(AND(K$6&gt;=$D10,K$6&lt;=$E10),1,"")</x:f>
      </x:c>
      <x:c r="L10" s="53" t="str">
        <x:f>IF(AND(L$6&gt;=$D10,L$6&lt;=$E10),1,"")</x:f>
      </x:c>
      <x:c r="M10" s="53" t="str">
        <x:f>IF(AND(M$6&gt;=$D10,M$6&lt;=$E10),1,"")</x:f>
      </x:c>
      <x:c r="N10" s="53" t="str">
        <x:f>IF(AND(N$6&gt;=$D10,N$6&lt;=$E10),1,"")</x:f>
      </x:c>
      <x:c r="O10" s="53" t="str">
        <x:f>IF(AND(O$6&gt;=$D10,O$6&lt;=$E10),1,"")</x:f>
      </x:c>
      <x:c r="P10" s="53" t="str">
        <x:f>IF(AND(P$6&gt;=$D10,P$6&lt;=$E10),1,"")</x:f>
      </x:c>
      <x:c r="Q10" s="53" t="str">
        <x:f>IF(AND(Q$6&gt;=$D10,Q$6&lt;=$E10),1,"")</x:f>
      </x:c>
      <x:c r="R10" s="53" t="str">
        <x:f>IF(AND(R$6&gt;=$D10,R$6&lt;=$E10),1,"")</x:f>
      </x:c>
      <x:c r="S10" s="53" t="str">
        <x:f>IF(AND(S$6&gt;=$D10,S$6&lt;=$E10),1,"")</x:f>
      </x:c>
      <x:c r="T10" s="53" t="str">
        <x:f>IF(AND(T$6&gt;=$D10,T$6&lt;=$E10),1,"")</x:f>
      </x:c>
      <x:c r="U10" s="53" t="str">
        <x:f>IF(AND(U$6&gt;=$D10,U$6&lt;=$E10),1,"")</x:f>
      </x:c>
      <x:c r="V10" s="53" t="str">
        <x:f>IF(AND(V$6&gt;=$D10,V$6&lt;=$E10),1,"")</x:f>
      </x:c>
      <x:c r="W10" s="53" t="str">
        <x:f>IF(AND(W$6&gt;=$D10,W$6&lt;=$E10),1,"")</x:f>
      </x:c>
      <x:c r="X10" s="53" t="str">
        <x:f>IF(AND(X$6&gt;=$D10,X$6&lt;=$E10),1,"")</x:f>
      </x:c>
      <x:c r="Y10" s="53" t="str">
        <x:f>IF(AND(Y$6&gt;=$D10,Y$6&lt;=$E10),1,"")</x:f>
      </x:c>
      <x:c r="Z10" s="53" t="str">
        <x:f>IF(AND(Z$6&gt;=$D10,Z$6&lt;=$E10),1,"")</x:f>
      </x:c>
      <x:c r="AA10" s="53" t="str">
        <x:f>IF(AND(AA$6&gt;=$D10,AA$6&lt;=$E10),1,"")</x:f>
      </x:c>
      <x:c r="AB10" s="53" t="str">
        <x:f>IF(AND(AB$6&gt;=$D10,AB$6&lt;=$E10),1,"")</x:f>
      </x:c>
      <x:c r="AC10" s="53" t="str">
        <x:f>IF(AND(AC$6&gt;=$D10,AC$6&lt;=$E10),1,"")</x:f>
      </x:c>
      <x:c r="AD10" s="53" t="str">
        <x:f>IF(AND(AD$6&gt;=$D10,AD$6&lt;=$E10),1,"")</x:f>
      </x:c>
      <x:c r="AE10" s="53" t="str">
        <x:f>IF(AND(AE$6&gt;=$D10,AE$6&lt;=$E10),1,"")</x:f>
      </x:c>
      <x:c r="AF10" s="53" t="str">
        <x:f>IF(AND(AF$6&gt;=$D10,AF$6&lt;=$E10),1,"")</x:f>
      </x:c>
      <x:c r="AG10" s="53" t="str">
        <x:f>IF(AND(AG$6&gt;=$D10,AG$6&lt;=$E10),1,"")</x:f>
      </x:c>
      <x:c r="AH10" s="53" t="str">
        <x:f>IF(AND(AH$6&gt;=$D10,AH$6&lt;=$E10),1,"")</x:f>
      </x:c>
    </x:row>
    <x:row r="11">
      <x:c r="A11" s="41" t="str">
        <x:v>Stage 2</x:v>
      </x:c>
      <x:c r="B11" s="41" t="str">
        <x:v>Basic CAD block model</x:v>
      </x:c>
      <x:c r="C11" s="41" t="str">
        <x:v>Create simplified CAD using boxes/cylinders; no detailed manufacturing design</x:v>
      </x:c>
      <x:c r="D11" s="42" t="n">
        <x:v>46237</x:v>
      </x:c>
      <x:c r="E11" s="42" t="n">
        <x:v>46243</x:v>
      </x:c>
      <x:c r="F11" s="43" t="n">
        <x:v>1</x:v>
      </x:c>
      <x:c r="G11" s="41" t="str">
        <x:v>Not Started</x:v>
      </x:c>
      <x:c r="H11" s="41" t="str">
        <x:v>Can be FreeCAD, Onshape, SolidWorks, or simple Python geometry.</x:v>
      </x:c>
      <x:c r="I11" s="53" t="str">
        <x:f>IF(AND(I$6&gt;=$D11,I$6&lt;=$E11),1,"")</x:f>
      </x:c>
      <x:c r="J11" s="53" t="str">
        <x:f>IF(AND(J$6&gt;=$D11,J$6&lt;=$E11),1,"")</x:f>
      </x:c>
      <x:c r="K11" s="53" t="str">
        <x:f>IF(AND(K$6&gt;=$D11,K$6&lt;=$E11),1,"")</x:f>
      </x:c>
      <x:c r="L11" s="53" t="str">
        <x:f>IF(AND(L$6&gt;=$D11,L$6&lt;=$E11),1,"")</x:f>
      </x:c>
      <x:c r="M11" s="53" t="str">
        <x:f>IF(AND(M$6&gt;=$D11,M$6&lt;=$E11),1,"")</x:f>
      </x:c>
      <x:c r="N11" s="53" t="str">
        <x:f>IF(AND(N$6&gt;=$D11,N$6&lt;=$E11),1,"")</x:f>
      </x:c>
      <x:c r="O11" s="53" t="str">
        <x:f>IF(AND(O$6&gt;=$D11,O$6&lt;=$E11),1,"")</x:f>
      </x:c>
      <x:c r="P11" s="53" t="str">
        <x:f>IF(AND(P$6&gt;=$D11,P$6&lt;=$E11),1,"")</x:f>
      </x:c>
      <x:c r="Q11" s="53" t="str">
        <x:f>IF(AND(Q$6&gt;=$D11,Q$6&lt;=$E11),1,"")</x:f>
      </x:c>
      <x:c r="R11" s="53" t="str">
        <x:f>IF(AND(R$6&gt;=$D11,R$6&lt;=$E11),1,"")</x:f>
      </x:c>
      <x:c r="S11" s="53" t="str">
        <x:f>IF(AND(S$6&gt;=$D11,S$6&lt;=$E11),1,"")</x:f>
      </x:c>
      <x:c r="T11" s="53" t="str">
        <x:f>IF(AND(T$6&gt;=$D11,T$6&lt;=$E11),1,"")</x:f>
      </x:c>
      <x:c r="U11" s="53" t="str">
        <x:f>IF(AND(U$6&gt;=$D11,U$6&lt;=$E11),1,"")</x:f>
      </x:c>
      <x:c r="V11" s="53" t="str">
        <x:f>IF(AND(V$6&gt;=$D11,V$6&lt;=$E11),1,"")</x:f>
      </x:c>
      <x:c r="W11" s="53" t="str">
        <x:f>IF(AND(W$6&gt;=$D11,W$6&lt;=$E11),1,"")</x:f>
      </x:c>
      <x:c r="X11" s="53" t="str">
        <x:f>IF(AND(X$6&gt;=$D11,X$6&lt;=$E11),1,"")</x:f>
      </x:c>
      <x:c r="Y11" s="53" t="str">
        <x:f>IF(AND(Y$6&gt;=$D11,Y$6&lt;=$E11),1,"")</x:f>
      </x:c>
      <x:c r="Z11" s="53" t="str">
        <x:f>IF(AND(Z$6&gt;=$D11,Z$6&lt;=$E11),1,"")</x:f>
      </x:c>
      <x:c r="AA11" s="53" t="str">
        <x:f>IF(AND(AA$6&gt;=$D11,AA$6&lt;=$E11),1,"")</x:f>
      </x:c>
      <x:c r="AB11" s="53" t="str">
        <x:f>IF(AND(AB$6&gt;=$D11,AB$6&lt;=$E11),1,"")</x:f>
      </x:c>
      <x:c r="AC11" s="53" t="str">
        <x:f>IF(AND(AC$6&gt;=$D11,AC$6&lt;=$E11),1,"")</x:f>
      </x:c>
      <x:c r="AD11" s="53" t="str">
        <x:f>IF(AND(AD$6&gt;=$D11,AD$6&lt;=$E11),1,"")</x:f>
      </x:c>
      <x:c r="AE11" s="53" t="str">
        <x:f>IF(AND(AE$6&gt;=$D11,AE$6&lt;=$E11),1,"")</x:f>
      </x:c>
      <x:c r="AF11" s="53" t="str">
        <x:f>IF(AND(AF$6&gt;=$D11,AF$6&lt;=$E11),1,"")</x:f>
      </x:c>
      <x:c r="AG11" s="53" t="str">
        <x:f>IF(AND(AG$6&gt;=$D11,AG$6&lt;=$E11),1,"")</x:f>
      </x:c>
      <x:c r="AH11" s="53" t="str">
        <x:f>IF(AND(AH$6&gt;=$D11,AH$6&lt;=$E11),1,"")</x:f>
      </x:c>
    </x:row>
    <x:row r="12">
      <x:c r="A12" s="41" t="str">
        <x:v>Stage 2</x:v>
      </x:c>
      <x:c r="B12" s="41" t="str">
        <x:v>Parametric update test</x:v>
      </x:c>
      <x:c r="C12" s="41" t="str">
        <x:v>Change one dimension from the parameter file and regenerate/update CAD</x:v>
      </x:c>
      <x:c r="D12" s="42" t="n">
        <x:v>46244</x:v>
      </x:c>
      <x:c r="E12" s="42" t="n">
        <x:v>46250</x:v>
      </x:c>
      <x:c r="F12" s="43" t="n">
        <x:v>1</x:v>
      </x:c>
      <x:c r="G12" s="41" t="str">
        <x:v>Not Started</x:v>
      </x:c>
      <x:c r="H12" s="41" t="str">
        <x:v>Evidence: before/after screenshot.</x:v>
      </x:c>
      <x:c r="I12" s="53" t="str">
        <x:f>IF(AND(I$6&gt;=$D12,I$6&lt;=$E12),1,"")</x:f>
      </x:c>
      <x:c r="J12" s="53" t="str">
        <x:f>IF(AND(J$6&gt;=$D12,J$6&lt;=$E12),1,"")</x:f>
      </x:c>
      <x:c r="K12" s="53" t="str">
        <x:f>IF(AND(K$6&gt;=$D12,K$6&lt;=$E12),1,"")</x:f>
      </x:c>
      <x:c r="L12" s="53" t="str">
        <x:f>IF(AND(L$6&gt;=$D12,L$6&lt;=$E12),1,"")</x:f>
      </x:c>
      <x:c r="M12" s="53" t="str">
        <x:f>IF(AND(M$6&gt;=$D12,M$6&lt;=$E12),1,"")</x:f>
      </x:c>
      <x:c r="N12" s="53" t="str">
        <x:f>IF(AND(N$6&gt;=$D12,N$6&lt;=$E12),1,"")</x:f>
      </x:c>
      <x:c r="O12" s="53" t="str">
        <x:f>IF(AND(O$6&gt;=$D12,O$6&lt;=$E12),1,"")</x:f>
      </x:c>
      <x:c r="P12" s="53" t="str">
        <x:f>IF(AND(P$6&gt;=$D12,P$6&lt;=$E12),1,"")</x:f>
      </x:c>
      <x:c r="Q12" s="53" t="str">
        <x:f>IF(AND(Q$6&gt;=$D12,Q$6&lt;=$E12),1,"")</x:f>
      </x:c>
      <x:c r="R12" s="53" t="str">
        <x:f>IF(AND(R$6&gt;=$D12,R$6&lt;=$E12),1,"")</x:f>
      </x:c>
      <x:c r="S12" s="53" t="str">
        <x:f>IF(AND(S$6&gt;=$D12,S$6&lt;=$E12),1,"")</x:f>
      </x:c>
      <x:c r="T12" s="53" t="str">
        <x:f>IF(AND(T$6&gt;=$D12,T$6&lt;=$E12),1,"")</x:f>
      </x:c>
      <x:c r="U12" s="53" t="str">
        <x:f>IF(AND(U$6&gt;=$D12,U$6&lt;=$E12),1,"")</x:f>
      </x:c>
      <x:c r="V12" s="53" t="str">
        <x:f>IF(AND(V$6&gt;=$D12,V$6&lt;=$E12),1,"")</x:f>
      </x:c>
      <x:c r="W12" s="53" t="str">
        <x:f>IF(AND(W$6&gt;=$D12,W$6&lt;=$E12),1,"")</x:f>
      </x:c>
      <x:c r="X12" s="53" t="str">
        <x:f>IF(AND(X$6&gt;=$D12,X$6&lt;=$E12),1,"")</x:f>
      </x:c>
      <x:c r="Y12" s="53" t="str">
        <x:f>IF(AND(Y$6&gt;=$D12,Y$6&lt;=$E12),1,"")</x:f>
      </x:c>
      <x:c r="Z12" s="53" t="str">
        <x:f>IF(AND(Z$6&gt;=$D12,Z$6&lt;=$E12),1,"")</x:f>
      </x:c>
      <x:c r="AA12" s="53" t="str">
        <x:f>IF(AND(AA$6&gt;=$D12,AA$6&lt;=$E12),1,"")</x:f>
      </x:c>
      <x:c r="AB12" s="53" t="str">
        <x:f>IF(AND(AB$6&gt;=$D12,AB$6&lt;=$E12),1,"")</x:f>
      </x:c>
      <x:c r="AC12" s="53" t="str">
        <x:f>IF(AND(AC$6&gt;=$D12,AC$6&lt;=$E12),1,"")</x:f>
      </x:c>
      <x:c r="AD12" s="53" t="str">
        <x:f>IF(AND(AD$6&gt;=$D12,AD$6&lt;=$E12),1,"")</x:f>
      </x:c>
      <x:c r="AE12" s="53" t="str">
        <x:f>IF(AND(AE$6&gt;=$D12,AE$6&lt;=$E12),1,"")</x:f>
      </x:c>
      <x:c r="AF12" s="53" t="str">
        <x:f>IF(AND(AF$6&gt;=$D12,AF$6&lt;=$E12),1,"")</x:f>
      </x:c>
      <x:c r="AG12" s="53" t="str">
        <x:f>IF(AND(AG$6&gt;=$D12,AG$6&lt;=$E12),1,"")</x:f>
      </x:c>
      <x:c r="AH12" s="53" t="str">
        <x:f>IF(AND(AH$6&gt;=$D12,AH$6&lt;=$E12),1,"")</x:f>
      </x:c>
    </x:row>
    <x:row r="13">
      <x:c r="A13" s="41" t="str">
        <x:v>Stage 2</x:v>
      </x:c>
      <x:c r="B13" s="41" t="str">
        <x:v>Mass assumptions</x:v>
      </x:c>
      <x:c r="C13" s="41" t="str">
        <x:v>Estimate link masses with rough values; do not over-model</x:v>
      </x:c>
      <x:c r="D13" s="42" t="n">
        <x:v>46251</x:v>
      </x:c>
      <x:c r="E13" s="42" t="n">
        <x:v>46257</x:v>
      </x:c>
      <x:c r="F13" s="43" t="n">
        <x:v>1</x:v>
      </x:c>
      <x:c r="G13" s="41" t="str">
        <x:v>Not Started</x:v>
      </x:c>
      <x:c r="H13" s="41" t="str">
        <x:v>Use simple assumed masses, lengths, payload.</x:v>
      </x:c>
      <x:c r="I13" s="53" t="str">
        <x:f>IF(AND(I$6&gt;=$D13,I$6&lt;=$E13),1,"")</x:f>
      </x:c>
      <x:c r="J13" s="53" t="str">
        <x:f>IF(AND(J$6&gt;=$D13,J$6&lt;=$E13),1,"")</x:f>
      </x:c>
      <x:c r="K13" s="53" t="str">
        <x:f>IF(AND(K$6&gt;=$D13,K$6&lt;=$E13),1,"")</x:f>
      </x:c>
      <x:c r="L13" s="53" t="str">
        <x:f>IF(AND(L$6&gt;=$D13,L$6&lt;=$E13),1,"")</x:f>
      </x:c>
      <x:c r="M13" s="53" t="str">
        <x:f>IF(AND(M$6&gt;=$D13,M$6&lt;=$E13),1,"")</x:f>
      </x:c>
      <x:c r="N13" s="53" t="str">
        <x:f>IF(AND(N$6&gt;=$D13,N$6&lt;=$E13),1,"")</x:f>
      </x:c>
      <x:c r="O13" s="53" t="str">
        <x:f>IF(AND(O$6&gt;=$D13,O$6&lt;=$E13),1,"")</x:f>
      </x:c>
      <x:c r="P13" s="53" t="str">
        <x:f>IF(AND(P$6&gt;=$D13,P$6&lt;=$E13),1,"")</x:f>
      </x:c>
      <x:c r="Q13" s="53" t="str">
        <x:f>IF(AND(Q$6&gt;=$D13,Q$6&lt;=$E13),1,"")</x:f>
      </x:c>
      <x:c r="R13" s="53" t="str">
        <x:f>IF(AND(R$6&gt;=$D13,R$6&lt;=$E13),1,"")</x:f>
      </x:c>
      <x:c r="S13" s="53" t="str">
        <x:f>IF(AND(S$6&gt;=$D13,S$6&lt;=$E13),1,"")</x:f>
      </x:c>
      <x:c r="T13" s="53" t="str">
        <x:f>IF(AND(T$6&gt;=$D13,T$6&lt;=$E13),1,"")</x:f>
      </x:c>
      <x:c r="U13" s="53" t="str">
        <x:f>IF(AND(U$6&gt;=$D13,U$6&lt;=$E13),1,"")</x:f>
      </x:c>
      <x:c r="V13" s="53" t="str">
        <x:f>IF(AND(V$6&gt;=$D13,V$6&lt;=$E13),1,"")</x:f>
      </x:c>
      <x:c r="W13" s="53" t="str">
        <x:f>IF(AND(W$6&gt;=$D13,W$6&lt;=$E13),1,"")</x:f>
      </x:c>
      <x:c r="X13" s="53" t="str">
        <x:f>IF(AND(X$6&gt;=$D13,X$6&lt;=$E13),1,"")</x:f>
      </x:c>
      <x:c r="Y13" s="53" t="str">
        <x:f>IF(AND(Y$6&gt;=$D13,Y$6&lt;=$E13),1,"")</x:f>
      </x:c>
      <x:c r="Z13" s="53" t="str">
        <x:f>IF(AND(Z$6&gt;=$D13,Z$6&lt;=$E13),1,"")</x:f>
      </x:c>
      <x:c r="AA13" s="53" t="str">
        <x:f>IF(AND(AA$6&gt;=$D13,AA$6&lt;=$E13),1,"")</x:f>
      </x:c>
      <x:c r="AB13" s="53" t="str">
        <x:f>IF(AND(AB$6&gt;=$D13,AB$6&lt;=$E13),1,"")</x:f>
      </x:c>
      <x:c r="AC13" s="53" t="str">
        <x:f>IF(AND(AC$6&gt;=$D13,AC$6&lt;=$E13),1,"")</x:f>
      </x:c>
      <x:c r="AD13" s="53" t="str">
        <x:f>IF(AND(AD$6&gt;=$D13,AD$6&lt;=$E13),1,"")</x:f>
      </x:c>
      <x:c r="AE13" s="53" t="str">
        <x:f>IF(AND(AE$6&gt;=$D13,AE$6&lt;=$E13),1,"")</x:f>
      </x:c>
      <x:c r="AF13" s="53" t="str">
        <x:f>IF(AND(AF$6&gt;=$D13,AF$6&lt;=$E13),1,"")</x:f>
      </x:c>
      <x:c r="AG13" s="53" t="str">
        <x:f>IF(AND(AG$6&gt;=$D13,AG$6&lt;=$E13),1,"")</x:f>
      </x:c>
      <x:c r="AH13" s="53" t="str">
        <x:f>IF(AND(AH$6&gt;=$D13,AH$6&lt;=$E13),1,"")</x:f>
      </x:c>
    </x:row>
    <x:row r="14">
      <x:c r="A14" s="41" t="str">
        <x:v>Stage 3</x:v>
      </x:c>
      <x:c r="B14" s="41" t="str">
        <x:v>Worst-case torque sheet</x:v>
      </x:c>
      <x:c r="C14" s="41" t="str">
        <x:v>Create a simple calculator for static torque at worst-case position</x:v>
      </x:c>
      <x:c r="D14" s="42" t="n">
        <x:v>46258</x:v>
      </x:c>
      <x:c r="E14" s="42" t="n">
        <x:v>46264</x:v>
      </x:c>
      <x:c r="F14" s="43" t="n">
        <x:v>1</x:v>
      </x:c>
      <x:c r="G14" s="41" t="str">
        <x:v>Not Started</x:v>
      </x:c>
      <x:c r="H14" s="41" t="str">
        <x:v>Formula level: torque = force x distance.</x:v>
      </x:c>
      <x:c r="I14" s="53" t="str">
        <x:f>IF(AND(I$6&gt;=$D14,I$6&lt;=$E14),1,"")</x:f>
      </x:c>
      <x:c r="J14" s="53" t="str">
        <x:f>IF(AND(J$6&gt;=$D14,J$6&lt;=$E14),1,"")</x:f>
      </x:c>
      <x:c r="K14" s="53" t="str">
        <x:f>IF(AND(K$6&gt;=$D14,K$6&lt;=$E14),1,"")</x:f>
      </x:c>
      <x:c r="L14" s="53" t="str">
        <x:f>IF(AND(L$6&gt;=$D14,L$6&lt;=$E14),1,"")</x:f>
      </x:c>
      <x:c r="M14" s="53" t="str">
        <x:f>IF(AND(M$6&gt;=$D14,M$6&lt;=$E14),1,"")</x:f>
      </x:c>
      <x:c r="N14" s="53" t="str">
        <x:f>IF(AND(N$6&gt;=$D14,N$6&lt;=$E14),1,"")</x:f>
      </x:c>
      <x:c r="O14" s="53" t="str">
        <x:f>IF(AND(O$6&gt;=$D14,O$6&lt;=$E14),1,"")</x:f>
      </x:c>
      <x:c r="P14" s="53" t="str">
        <x:f>IF(AND(P$6&gt;=$D14,P$6&lt;=$E14),1,"")</x:f>
      </x:c>
      <x:c r="Q14" s="53" t="str">
        <x:f>IF(AND(Q$6&gt;=$D14,Q$6&lt;=$E14),1,"")</x:f>
      </x:c>
      <x:c r="R14" s="53" t="str">
        <x:f>IF(AND(R$6&gt;=$D14,R$6&lt;=$E14),1,"")</x:f>
      </x:c>
      <x:c r="S14" s="53" t="str">
        <x:f>IF(AND(S$6&gt;=$D14,S$6&lt;=$E14),1,"")</x:f>
      </x:c>
      <x:c r="T14" s="53" t="str">
        <x:f>IF(AND(T$6&gt;=$D14,T$6&lt;=$E14),1,"")</x:f>
      </x:c>
      <x:c r="U14" s="53" t="str">
        <x:f>IF(AND(U$6&gt;=$D14,U$6&lt;=$E14),1,"")</x:f>
      </x:c>
      <x:c r="V14" s="53" t="str">
        <x:f>IF(AND(V$6&gt;=$D14,V$6&lt;=$E14),1,"")</x:f>
      </x:c>
      <x:c r="W14" s="53" t="str">
        <x:f>IF(AND(W$6&gt;=$D14,W$6&lt;=$E14),1,"")</x:f>
      </x:c>
      <x:c r="X14" s="53" t="str">
        <x:f>IF(AND(X$6&gt;=$D14,X$6&lt;=$E14),1,"")</x:f>
      </x:c>
      <x:c r="Y14" s="53" t="str">
        <x:f>IF(AND(Y$6&gt;=$D14,Y$6&lt;=$E14),1,"")</x:f>
      </x:c>
      <x:c r="Z14" s="53" t="str">
        <x:f>IF(AND(Z$6&gt;=$D14,Z$6&lt;=$E14),1,"")</x:f>
      </x:c>
      <x:c r="AA14" s="53" t="str">
        <x:f>IF(AND(AA$6&gt;=$D14,AA$6&lt;=$E14),1,"")</x:f>
      </x:c>
      <x:c r="AB14" s="53" t="str">
        <x:f>IF(AND(AB$6&gt;=$D14,AB$6&lt;=$E14),1,"")</x:f>
      </x:c>
      <x:c r="AC14" s="53" t="str">
        <x:f>IF(AND(AC$6&gt;=$D14,AC$6&lt;=$E14),1,"")</x:f>
      </x:c>
      <x:c r="AD14" s="53" t="str">
        <x:f>IF(AND(AD$6&gt;=$D14,AD$6&lt;=$E14),1,"")</x:f>
      </x:c>
      <x:c r="AE14" s="53" t="str">
        <x:f>IF(AND(AE$6&gt;=$D14,AE$6&lt;=$E14),1,"")</x:f>
      </x:c>
      <x:c r="AF14" s="53" t="str">
        <x:f>IF(AND(AF$6&gt;=$D14,AF$6&lt;=$E14),1,"")</x:f>
      </x:c>
      <x:c r="AG14" s="53" t="str">
        <x:f>IF(AND(AG$6&gt;=$D14,AG$6&lt;=$E14),1,"")</x:f>
      </x:c>
      <x:c r="AH14" s="53" t="str">
        <x:f>IF(AND(AH$6&gt;=$D14,AH$6&lt;=$E14),1,"")</x:f>
      </x:c>
    </x:row>
    <x:row r="15">
      <x:c r="A15" s="41" t="str">
        <x:v>Stage 3</x:v>
      </x:c>
      <x:c r="B15" s="41" t="str">
        <x:v>Motor shortlist</x:v>
      </x:c>
      <x:c r="C15" s="41" t="str">
        <x:v>Pick 1-2 example motors/servos and check rough margin</x:v>
      </x:c>
      <x:c r="D15" s="42" t="n">
        <x:v>46265</x:v>
      </x:c>
      <x:c r="E15" s="42" t="n">
        <x:v>46271</x:v>
      </x:c>
      <x:c r="F15" s="43" t="n">
        <x:v>1</x:v>
      </x:c>
      <x:c r="G15" s="41" t="str">
        <x:v>Not Started</x:v>
      </x:c>
      <x:c r="H15" s="41" t="str">
        <x:v>Do not buy parts unless needed.</x:v>
      </x:c>
      <x:c r="I15" s="53" t="str">
        <x:f>IF(AND(I$6&gt;=$D15,I$6&lt;=$E15),1,"")</x:f>
      </x:c>
      <x:c r="J15" s="53" t="str">
        <x:f>IF(AND(J$6&gt;=$D15,J$6&lt;=$E15),1,"")</x:f>
      </x:c>
      <x:c r="K15" s="53" t="str">
        <x:f>IF(AND(K$6&gt;=$D15,K$6&lt;=$E15),1,"")</x:f>
      </x:c>
      <x:c r="L15" s="53" t="str">
        <x:f>IF(AND(L$6&gt;=$D15,L$6&lt;=$E15),1,"")</x:f>
      </x:c>
      <x:c r="M15" s="53" t="str">
        <x:f>IF(AND(M$6&gt;=$D15,M$6&lt;=$E15),1,"")</x:f>
      </x:c>
      <x:c r="N15" s="53" t="str">
        <x:f>IF(AND(N$6&gt;=$D15,N$6&lt;=$E15),1,"")</x:f>
      </x:c>
      <x:c r="O15" s="53" t="str">
        <x:f>IF(AND(O$6&gt;=$D15,O$6&lt;=$E15),1,"")</x:f>
      </x:c>
      <x:c r="P15" s="53" t="str">
        <x:f>IF(AND(P$6&gt;=$D15,P$6&lt;=$E15),1,"")</x:f>
      </x:c>
      <x:c r="Q15" s="53" t="str">
        <x:f>IF(AND(Q$6&gt;=$D15,Q$6&lt;=$E15),1,"")</x:f>
      </x:c>
      <x:c r="R15" s="53" t="str">
        <x:f>IF(AND(R$6&gt;=$D15,R$6&lt;=$E15),1,"")</x:f>
      </x:c>
      <x:c r="S15" s="53" t="str">
        <x:f>IF(AND(S$6&gt;=$D15,S$6&lt;=$E15),1,"")</x:f>
      </x:c>
      <x:c r="T15" s="53" t="str">
        <x:f>IF(AND(T$6&gt;=$D15,T$6&lt;=$E15),1,"")</x:f>
      </x:c>
      <x:c r="U15" s="53" t="str">
        <x:f>IF(AND(U$6&gt;=$D15,U$6&lt;=$E15),1,"")</x:f>
      </x:c>
      <x:c r="V15" s="53" t="str">
        <x:f>IF(AND(V$6&gt;=$D15,V$6&lt;=$E15),1,"")</x:f>
      </x:c>
      <x:c r="W15" s="53" t="str">
        <x:f>IF(AND(W$6&gt;=$D15,W$6&lt;=$E15),1,"")</x:f>
      </x:c>
      <x:c r="X15" s="53" t="str">
        <x:f>IF(AND(X$6&gt;=$D15,X$6&lt;=$E15),1,"")</x:f>
      </x:c>
      <x:c r="Y15" s="53" t="str">
        <x:f>IF(AND(Y$6&gt;=$D15,Y$6&lt;=$E15),1,"")</x:f>
      </x:c>
      <x:c r="Z15" s="53" t="str">
        <x:f>IF(AND(Z$6&gt;=$D15,Z$6&lt;=$E15),1,"")</x:f>
      </x:c>
      <x:c r="AA15" s="53" t="str">
        <x:f>IF(AND(AA$6&gt;=$D15,AA$6&lt;=$E15),1,"")</x:f>
      </x:c>
      <x:c r="AB15" s="53" t="str">
        <x:f>IF(AND(AB$6&gt;=$D15,AB$6&lt;=$E15),1,"")</x:f>
      </x:c>
      <x:c r="AC15" s="53" t="str">
        <x:f>IF(AND(AC$6&gt;=$D15,AC$6&lt;=$E15),1,"")</x:f>
      </x:c>
      <x:c r="AD15" s="53" t="str">
        <x:f>IF(AND(AD$6&gt;=$D15,AD$6&lt;=$E15),1,"")</x:f>
      </x:c>
      <x:c r="AE15" s="53" t="str">
        <x:f>IF(AND(AE$6&gt;=$D15,AE$6&lt;=$E15),1,"")</x:f>
      </x:c>
      <x:c r="AF15" s="53" t="str">
        <x:f>IF(AND(AF$6&gt;=$D15,AF$6&lt;=$E15),1,"")</x:f>
      </x:c>
      <x:c r="AG15" s="53" t="str">
        <x:f>IF(AND(AG$6&gt;=$D15,AG$6&lt;=$E15),1,"")</x:f>
      </x:c>
      <x:c r="AH15" s="53" t="str">
        <x:f>IF(AND(AH$6&gt;=$D15,AH$6&lt;=$E15),1,"")</x:f>
      </x:c>
    </x:row>
    <x:row r="16">
      <x:c r="A16" s="41" t="str">
        <x:v>Stage 3</x:v>
      </x:c>
      <x:c r="B16" s="41" t="str">
        <x:v>Sizing summary</x:v>
      </x:c>
      <x:c r="C16" s="41" t="str">
        <x:v>Write one-page summary of assumptions, torque, margin, limitations</x:v>
      </x:c>
      <x:c r="D16" s="42" t="n">
        <x:v>46272</x:v>
      </x:c>
      <x:c r="E16" s="42" t="n">
        <x:v>46278</x:v>
      </x:c>
      <x:c r="F16" s="43" t="n">
        <x:v>1</x:v>
      </x:c>
      <x:c r="G16" s="41" t="str">
        <x:v>Not Started</x:v>
      </x:c>
      <x:c r="H16" s="41" t="str">
        <x:v>This is the deliverable, not perfect engineering.</x:v>
      </x:c>
      <x:c r="I16" s="53" t="str">
        <x:f>IF(AND(I$6&gt;=$D16,I$6&lt;=$E16),1,"")</x:f>
      </x:c>
      <x:c r="J16" s="53" t="str">
        <x:f>IF(AND(J$6&gt;=$D16,J$6&lt;=$E16),1,"")</x:f>
      </x:c>
      <x:c r="K16" s="53" t="str">
        <x:f>IF(AND(K$6&gt;=$D16,K$6&lt;=$E16),1,"")</x:f>
      </x:c>
      <x:c r="L16" s="53" t="str">
        <x:f>IF(AND(L$6&gt;=$D16,L$6&lt;=$E16),1,"")</x:f>
      </x:c>
      <x:c r="M16" s="53" t="str">
        <x:f>IF(AND(M$6&gt;=$D16,M$6&lt;=$E16),1,"")</x:f>
      </x:c>
      <x:c r="N16" s="53" t="str">
        <x:f>IF(AND(N$6&gt;=$D16,N$6&lt;=$E16),1,"")</x:f>
      </x:c>
      <x:c r="O16" s="53" t="str">
        <x:f>IF(AND(O$6&gt;=$D16,O$6&lt;=$E16),1,"")</x:f>
      </x:c>
      <x:c r="P16" s="53" t="str">
        <x:f>IF(AND(P$6&gt;=$D16,P$6&lt;=$E16),1,"")</x:f>
      </x:c>
      <x:c r="Q16" s="53" t="str">
        <x:f>IF(AND(Q$6&gt;=$D16,Q$6&lt;=$E16),1,"")</x:f>
      </x:c>
      <x:c r="R16" s="53" t="str">
        <x:f>IF(AND(R$6&gt;=$D16,R$6&lt;=$E16),1,"")</x:f>
      </x:c>
      <x:c r="S16" s="53" t="str">
        <x:f>IF(AND(S$6&gt;=$D16,S$6&lt;=$E16),1,"")</x:f>
      </x:c>
      <x:c r="T16" s="53" t="str">
        <x:f>IF(AND(T$6&gt;=$D16,T$6&lt;=$E16),1,"")</x:f>
      </x:c>
      <x:c r="U16" s="53" t="str">
        <x:f>IF(AND(U$6&gt;=$D16,U$6&lt;=$E16),1,"")</x:f>
      </x:c>
      <x:c r="V16" s="53" t="str">
        <x:f>IF(AND(V$6&gt;=$D16,V$6&lt;=$E16),1,"")</x:f>
      </x:c>
      <x:c r="W16" s="53" t="str">
        <x:f>IF(AND(W$6&gt;=$D16,W$6&lt;=$E16),1,"")</x:f>
      </x:c>
      <x:c r="X16" s="53" t="str">
        <x:f>IF(AND(X$6&gt;=$D16,X$6&lt;=$E16),1,"")</x:f>
      </x:c>
      <x:c r="Y16" s="53" t="str">
        <x:f>IF(AND(Y$6&gt;=$D16,Y$6&lt;=$E16),1,"")</x:f>
      </x:c>
      <x:c r="Z16" s="53" t="str">
        <x:f>IF(AND(Z$6&gt;=$D16,Z$6&lt;=$E16),1,"")</x:f>
      </x:c>
      <x:c r="AA16" s="53" t="str">
        <x:f>IF(AND(AA$6&gt;=$D16,AA$6&lt;=$E16),1,"")</x:f>
      </x:c>
      <x:c r="AB16" s="53" t="str">
        <x:f>IF(AND(AB$6&gt;=$D16,AB$6&lt;=$E16),1,"")</x:f>
      </x:c>
      <x:c r="AC16" s="53" t="str">
        <x:f>IF(AND(AC$6&gt;=$D16,AC$6&lt;=$E16),1,"")</x:f>
      </x:c>
      <x:c r="AD16" s="53" t="str">
        <x:f>IF(AND(AD$6&gt;=$D16,AD$6&lt;=$E16),1,"")</x:f>
      </x:c>
      <x:c r="AE16" s="53" t="str">
        <x:f>IF(AND(AE$6&gt;=$D16,AE$6&lt;=$E16),1,"")</x:f>
      </x:c>
      <x:c r="AF16" s="53" t="str">
        <x:f>IF(AND(AF$6&gt;=$D16,AF$6&lt;=$E16),1,"")</x:f>
      </x:c>
      <x:c r="AG16" s="53" t="str">
        <x:f>IF(AND(AG$6&gt;=$D16,AG$6&lt;=$E16),1,"")</x:f>
      </x:c>
      <x:c r="AH16" s="53" t="str">
        <x:f>IF(AND(AH$6&gt;=$D16,AH$6&lt;=$E16),1,"")</x:f>
      </x:c>
    </x:row>
    <x:row r="17">
      <x:c r="A17" s="41" t="str">
        <x:v>Stage 4</x:v>
      </x:c>
      <x:c r="B17" s="41" t="str">
        <x:v>URDF skeleton</x:v>
      </x:c>
      <x:c r="C17" s="41" t="str">
        <x:v>Create simple URDF/Xacro with links and joints</x:v>
      </x:c>
      <x:c r="D17" s="42" t="n">
        <x:v>46279</x:v>
      </x:c>
      <x:c r="E17" s="42" t="n">
        <x:v>46285</x:v>
      </x:c>
      <x:c r="F17" s="43" t="n">
        <x:v>1</x:v>
      </x:c>
      <x:c r="G17" s="41" t="str">
        <x:v>Not Started</x:v>
      </x:c>
      <x:c r="H17" s="41" t="str">
        <x:v>Use basic shapes first.</x:v>
      </x:c>
      <x:c r="I17" s="53" t="str">
        <x:f>IF(AND(I$6&gt;=$D17,I$6&lt;=$E17),1,"")</x:f>
      </x:c>
      <x:c r="J17" s="53" t="str">
        <x:f>IF(AND(J$6&gt;=$D17,J$6&lt;=$E17),1,"")</x:f>
      </x:c>
      <x:c r="K17" s="53" t="str">
        <x:f>IF(AND(K$6&gt;=$D17,K$6&lt;=$E17),1,"")</x:f>
      </x:c>
      <x:c r="L17" s="53" t="str">
        <x:f>IF(AND(L$6&gt;=$D17,L$6&lt;=$E17),1,"")</x:f>
      </x:c>
      <x:c r="M17" s="53" t="str">
        <x:f>IF(AND(M$6&gt;=$D17,M$6&lt;=$E17),1,"")</x:f>
      </x:c>
      <x:c r="N17" s="53" t="str">
        <x:f>IF(AND(N$6&gt;=$D17,N$6&lt;=$E17),1,"")</x:f>
      </x:c>
      <x:c r="O17" s="53" t="str">
        <x:f>IF(AND(O$6&gt;=$D17,O$6&lt;=$E17),1,"")</x:f>
      </x:c>
      <x:c r="P17" s="53" t="str">
        <x:f>IF(AND(P$6&gt;=$D17,P$6&lt;=$E17),1,"")</x:f>
      </x:c>
      <x:c r="Q17" s="53" t="str">
        <x:f>IF(AND(Q$6&gt;=$D17,Q$6&lt;=$E17),1,"")</x:f>
      </x:c>
      <x:c r="R17" s="53" t="str">
        <x:f>IF(AND(R$6&gt;=$D17,R$6&lt;=$E17),1,"")</x:f>
      </x:c>
      <x:c r="S17" s="53" t="str">
        <x:f>IF(AND(S$6&gt;=$D17,S$6&lt;=$E17),1,"")</x:f>
      </x:c>
      <x:c r="T17" s="53" t="str">
        <x:f>IF(AND(T$6&gt;=$D17,T$6&lt;=$E17),1,"")</x:f>
      </x:c>
      <x:c r="U17" s="53" t="str">
        <x:f>IF(AND(U$6&gt;=$D17,U$6&lt;=$E17),1,"")</x:f>
      </x:c>
      <x:c r="V17" s="53" t="str">
        <x:f>IF(AND(V$6&gt;=$D17,V$6&lt;=$E17),1,"")</x:f>
      </x:c>
      <x:c r="W17" s="53" t="str">
        <x:f>IF(AND(W$6&gt;=$D17,W$6&lt;=$E17),1,"")</x:f>
      </x:c>
      <x:c r="X17" s="53" t="str">
        <x:f>IF(AND(X$6&gt;=$D17,X$6&lt;=$E17),1,"")</x:f>
      </x:c>
      <x:c r="Y17" s="53" t="str">
        <x:f>IF(AND(Y$6&gt;=$D17,Y$6&lt;=$E17),1,"")</x:f>
      </x:c>
      <x:c r="Z17" s="53" t="str">
        <x:f>IF(AND(Z$6&gt;=$D17,Z$6&lt;=$E17),1,"")</x:f>
      </x:c>
      <x:c r="AA17" s="53" t="str">
        <x:f>IF(AND(AA$6&gt;=$D17,AA$6&lt;=$E17),1,"")</x:f>
      </x:c>
      <x:c r="AB17" s="53" t="str">
        <x:f>IF(AND(AB$6&gt;=$D17,AB$6&lt;=$E17),1,"")</x:f>
      </x:c>
      <x:c r="AC17" s="53" t="str">
        <x:f>IF(AND(AC$6&gt;=$D17,AC$6&lt;=$E17),1,"")</x:f>
      </x:c>
      <x:c r="AD17" s="53" t="str">
        <x:f>IF(AND(AD$6&gt;=$D17,AD$6&lt;=$E17),1,"")</x:f>
      </x:c>
      <x:c r="AE17" s="53" t="str">
        <x:f>IF(AND(AE$6&gt;=$D17,AE$6&lt;=$E17),1,"")</x:f>
      </x:c>
      <x:c r="AF17" s="53" t="str">
        <x:f>IF(AND(AF$6&gt;=$D17,AF$6&lt;=$E17),1,"")</x:f>
      </x:c>
      <x:c r="AG17" s="53" t="str">
        <x:f>IF(AND(AG$6&gt;=$D17,AG$6&lt;=$E17),1,"")</x:f>
      </x:c>
      <x:c r="AH17" s="53" t="str">
        <x:f>IF(AND(AH$6&gt;=$D17,AH$6&lt;=$E17),1,"")</x:f>
      </x:c>
    </x:row>
    <x:row r="18">
      <x:c r="A18" s="41" t="str">
        <x:v>Stage 4</x:v>
      </x:c>
      <x:c r="B18" s="41" t="str">
        <x:v>ROS 2 package setup</x:v>
      </x:c>
      <x:c r="C18" s="41" t="str">
        <x:v>Create robot_description and launch file structure</x:v>
      </x:c>
      <x:c r="D18" s="42" t="n">
        <x:v>46286</x:v>
      </x:c>
      <x:c r="E18" s="42" t="n">
        <x:v>46292</x:v>
      </x:c>
      <x:c r="F18" s="43" t="n">
        <x:v>1</x:v>
      </x:c>
      <x:c r="G18" s="41" t="str">
        <x:v>Not Started</x:v>
      </x:c>
      <x:c r="H18" s="41" t="str">
        <x:v>Keep package minimal.</x:v>
      </x:c>
      <x:c r="I18" s="53" t="str">
        <x:f>IF(AND(I$6&gt;=$D18,I$6&lt;=$E18),1,"")</x:f>
      </x:c>
      <x:c r="J18" s="53" t="str">
        <x:f>IF(AND(J$6&gt;=$D18,J$6&lt;=$E18),1,"")</x:f>
      </x:c>
      <x:c r="K18" s="53" t="str">
        <x:f>IF(AND(K$6&gt;=$D18,K$6&lt;=$E18),1,"")</x:f>
      </x:c>
      <x:c r="L18" s="53" t="str">
        <x:f>IF(AND(L$6&gt;=$D18,L$6&lt;=$E18),1,"")</x:f>
      </x:c>
      <x:c r="M18" s="53" t="str">
        <x:f>IF(AND(M$6&gt;=$D18,M$6&lt;=$E18),1,"")</x:f>
      </x:c>
      <x:c r="N18" s="53" t="str">
        <x:f>IF(AND(N$6&gt;=$D18,N$6&lt;=$E18),1,"")</x:f>
      </x:c>
      <x:c r="O18" s="53" t="str">
        <x:f>IF(AND(O$6&gt;=$D18,O$6&lt;=$E18),1,"")</x:f>
      </x:c>
      <x:c r="P18" s="53" t="str">
        <x:f>IF(AND(P$6&gt;=$D18,P$6&lt;=$E18),1,"")</x:f>
      </x:c>
      <x:c r="Q18" s="53" t="str">
        <x:f>IF(AND(Q$6&gt;=$D18,Q$6&lt;=$E18),1,"")</x:f>
      </x:c>
      <x:c r="R18" s="53" t="str">
        <x:f>IF(AND(R$6&gt;=$D18,R$6&lt;=$E18),1,"")</x:f>
      </x:c>
      <x:c r="S18" s="53" t="str">
        <x:f>IF(AND(S$6&gt;=$D18,S$6&lt;=$E18),1,"")</x:f>
      </x:c>
      <x:c r="T18" s="53" t="str">
        <x:f>IF(AND(T$6&gt;=$D18,T$6&lt;=$E18),1,"")</x:f>
      </x:c>
      <x:c r="U18" s="53" t="str">
        <x:f>IF(AND(U$6&gt;=$D18,U$6&lt;=$E18),1,"")</x:f>
      </x:c>
      <x:c r="V18" s="53" t="str">
        <x:f>IF(AND(V$6&gt;=$D18,V$6&lt;=$E18),1,"")</x:f>
      </x:c>
      <x:c r="W18" s="53" t="str">
        <x:f>IF(AND(W$6&gt;=$D18,W$6&lt;=$E18),1,"")</x:f>
      </x:c>
      <x:c r="X18" s="53" t="str">
        <x:f>IF(AND(X$6&gt;=$D18,X$6&lt;=$E18),1,"")</x:f>
      </x:c>
      <x:c r="Y18" s="53" t="str">
        <x:f>IF(AND(Y$6&gt;=$D18,Y$6&lt;=$E18),1,"")</x:f>
      </x:c>
      <x:c r="Z18" s="53" t="str">
        <x:f>IF(AND(Z$6&gt;=$D18,Z$6&lt;=$E18),1,"")</x:f>
      </x:c>
      <x:c r="AA18" s="53" t="str">
        <x:f>IF(AND(AA$6&gt;=$D18,AA$6&lt;=$E18),1,"")</x:f>
      </x:c>
      <x:c r="AB18" s="53" t="str">
        <x:f>IF(AND(AB$6&gt;=$D18,AB$6&lt;=$E18),1,"")</x:f>
      </x:c>
      <x:c r="AC18" s="53" t="str">
        <x:f>IF(AND(AC$6&gt;=$D18,AC$6&lt;=$E18),1,"")</x:f>
      </x:c>
      <x:c r="AD18" s="53" t="str">
        <x:f>IF(AND(AD$6&gt;=$D18,AD$6&lt;=$E18),1,"")</x:f>
      </x:c>
      <x:c r="AE18" s="53" t="str">
        <x:f>IF(AND(AE$6&gt;=$D18,AE$6&lt;=$E18),1,"")</x:f>
      </x:c>
      <x:c r="AF18" s="53" t="str">
        <x:f>IF(AND(AF$6&gt;=$D18,AF$6&lt;=$E18),1,"")</x:f>
      </x:c>
      <x:c r="AG18" s="53" t="str">
        <x:f>IF(AND(AG$6&gt;=$D18,AG$6&lt;=$E18),1,"")</x:f>
      </x:c>
      <x:c r="AH18" s="53" t="str">
        <x:f>IF(AND(AH$6&gt;=$D18,AH$6&lt;=$E18),1,"")</x:f>
      </x:c>
    </x:row>
    <x:row r="19">
      <x:c r="A19" s="41" t="str">
        <x:v>Stage 4</x:v>
      </x:c>
      <x:c r="B19" s="41" t="str">
        <x:v>Spawn in Gazebo</x:v>
      </x:c>
      <x:c r="C19" s="41" t="str">
        <x:v>Load robot into Gazebo/Ignition with fixed world</x:v>
      </x:c>
      <x:c r="D19" s="42" t="n">
        <x:v>46293</x:v>
      </x:c>
      <x:c r="E19" s="42" t="n">
        <x:v>46299</x:v>
      </x:c>
      <x:c r="F19" s="43" t="n">
        <x:v>1</x:v>
      </x:c>
      <x:c r="G19" s="41" t="str">
        <x:v>Not Started</x:v>
      </x:c>
      <x:c r="H19" s="41" t="str">
        <x:v>Screenshot proof is enough.</x:v>
      </x:c>
      <x:c r="I19" s="53" t="str">
        <x:f>IF(AND(I$6&gt;=$D19,I$6&lt;=$E19),1,"")</x:f>
      </x:c>
      <x:c r="J19" s="53" t="str">
        <x:f>IF(AND(J$6&gt;=$D19,J$6&lt;=$E19),1,"")</x:f>
      </x:c>
      <x:c r="K19" s="53" t="str">
        <x:f>IF(AND(K$6&gt;=$D19,K$6&lt;=$E19),1,"")</x:f>
      </x:c>
      <x:c r="L19" s="53" t="str">
        <x:f>IF(AND(L$6&gt;=$D19,L$6&lt;=$E19),1,"")</x:f>
      </x:c>
      <x:c r="M19" s="53" t="str">
        <x:f>IF(AND(M$6&gt;=$D19,M$6&lt;=$E19),1,"")</x:f>
      </x:c>
      <x:c r="N19" s="53" t="str">
        <x:f>IF(AND(N$6&gt;=$D19,N$6&lt;=$E19),1,"")</x:f>
      </x:c>
      <x:c r="O19" s="53" t="str">
        <x:f>IF(AND(O$6&gt;=$D19,O$6&lt;=$E19),1,"")</x:f>
      </x:c>
      <x:c r="P19" s="53" t="str">
        <x:f>IF(AND(P$6&gt;=$D19,P$6&lt;=$E19),1,"")</x:f>
      </x:c>
      <x:c r="Q19" s="53" t="str">
        <x:f>IF(AND(Q$6&gt;=$D19,Q$6&lt;=$E19),1,"")</x:f>
      </x:c>
      <x:c r="R19" s="53" t="str">
        <x:f>IF(AND(R$6&gt;=$D19,R$6&lt;=$E19),1,"")</x:f>
      </x:c>
      <x:c r="S19" s="53" t="str">
        <x:f>IF(AND(S$6&gt;=$D19,S$6&lt;=$E19),1,"")</x:f>
      </x:c>
      <x:c r="T19" s="53" t="str">
        <x:f>IF(AND(T$6&gt;=$D19,T$6&lt;=$E19),1,"")</x:f>
      </x:c>
      <x:c r="U19" s="53" t="str">
        <x:f>IF(AND(U$6&gt;=$D19,U$6&lt;=$E19),1,"")</x:f>
      </x:c>
      <x:c r="V19" s="53" t="str">
        <x:f>IF(AND(V$6&gt;=$D19,V$6&lt;=$E19),1,"")</x:f>
      </x:c>
      <x:c r="W19" s="53" t="str">
        <x:f>IF(AND(W$6&gt;=$D19,W$6&lt;=$E19),1,"")</x:f>
      </x:c>
      <x:c r="X19" s="53" t="str">
        <x:f>IF(AND(X$6&gt;=$D19,X$6&lt;=$E19),1,"")</x:f>
      </x:c>
      <x:c r="Y19" s="53" t="str">
        <x:f>IF(AND(Y$6&gt;=$D19,Y$6&lt;=$E19),1,"")</x:f>
      </x:c>
      <x:c r="Z19" s="53" t="str">
        <x:f>IF(AND(Z$6&gt;=$D19,Z$6&lt;=$E19),1,"")</x:f>
      </x:c>
      <x:c r="AA19" s="53" t="str">
        <x:f>IF(AND(AA$6&gt;=$D19,AA$6&lt;=$E19),1,"")</x:f>
      </x:c>
      <x:c r="AB19" s="53" t="str">
        <x:f>IF(AND(AB$6&gt;=$D19,AB$6&lt;=$E19),1,"")</x:f>
      </x:c>
      <x:c r="AC19" s="53" t="str">
        <x:f>IF(AND(AC$6&gt;=$D19,AC$6&lt;=$E19),1,"")</x:f>
      </x:c>
      <x:c r="AD19" s="53" t="str">
        <x:f>IF(AND(AD$6&gt;=$D19,AD$6&lt;=$E19),1,"")</x:f>
      </x:c>
      <x:c r="AE19" s="53" t="str">
        <x:f>IF(AND(AE$6&gt;=$D19,AE$6&lt;=$E19),1,"")</x:f>
      </x:c>
      <x:c r="AF19" s="53" t="str">
        <x:f>IF(AND(AF$6&gt;=$D19,AF$6&lt;=$E19),1,"")</x:f>
      </x:c>
      <x:c r="AG19" s="53" t="str">
        <x:f>IF(AND(AG$6&gt;=$D19,AG$6&lt;=$E19),1,"")</x:f>
      </x:c>
      <x:c r="AH19" s="53" t="str">
        <x:f>IF(AND(AH$6&gt;=$D19,AH$6&lt;=$E19),1,"")</x:f>
      </x:c>
    </x:row>
    <x:row r="20">
      <x:c r="A20" s="41" t="str">
        <x:v>Stage 4</x:v>
      </x:c>
      <x:c r="B20" s="41" t="str">
        <x:v>Joint control test</x:v>
      </x:c>
      <x:c r="C20" s="41" t="str">
        <x:v>Move one joint manually from ROS command or GUI</x:v>
      </x:c>
      <x:c r="D20" s="42" t="n">
        <x:v>46300</x:v>
      </x:c>
      <x:c r="E20" s="42" t="n">
        <x:v>46306</x:v>
      </x:c>
      <x:c r="F20" s="43" t="n">
        <x:v>1</x:v>
      </x:c>
      <x:c r="G20" s="41" t="str">
        <x:v>Not Started</x:v>
      </x:c>
      <x:c r="H20" s="41" t="str">
        <x:v>Target: one reliable motion.</x:v>
      </x:c>
      <x:c r="I20" s="53" t="str">
        <x:f>IF(AND(I$6&gt;=$D20,I$6&lt;=$E20),1,"")</x:f>
      </x:c>
      <x:c r="J20" s="53" t="str">
        <x:f>IF(AND(J$6&gt;=$D20,J$6&lt;=$E20),1,"")</x:f>
      </x:c>
      <x:c r="K20" s="53" t="str">
        <x:f>IF(AND(K$6&gt;=$D20,K$6&lt;=$E20),1,"")</x:f>
      </x:c>
      <x:c r="L20" s="53" t="str">
        <x:f>IF(AND(L$6&gt;=$D20,L$6&lt;=$E20),1,"")</x:f>
      </x:c>
      <x:c r="M20" s="53" t="str">
        <x:f>IF(AND(M$6&gt;=$D20,M$6&lt;=$E20),1,"")</x:f>
      </x:c>
      <x:c r="N20" s="53" t="str">
        <x:f>IF(AND(N$6&gt;=$D20,N$6&lt;=$E20),1,"")</x:f>
      </x:c>
      <x:c r="O20" s="53" t="str">
        <x:f>IF(AND(O$6&gt;=$D20,O$6&lt;=$E20),1,"")</x:f>
      </x:c>
      <x:c r="P20" s="53" t="str">
        <x:f>IF(AND(P$6&gt;=$D20,P$6&lt;=$E20),1,"")</x:f>
      </x:c>
      <x:c r="Q20" s="53" t="str">
        <x:f>IF(AND(Q$6&gt;=$D20,Q$6&lt;=$E20),1,"")</x:f>
      </x:c>
      <x:c r="R20" s="53" t="str">
        <x:f>IF(AND(R$6&gt;=$D20,R$6&lt;=$E20),1,"")</x:f>
      </x:c>
      <x:c r="S20" s="53" t="str">
        <x:f>IF(AND(S$6&gt;=$D20,S$6&lt;=$E20),1,"")</x:f>
      </x:c>
      <x:c r="T20" s="53" t="str">
        <x:f>IF(AND(T$6&gt;=$D20,T$6&lt;=$E20),1,"")</x:f>
      </x:c>
      <x:c r="U20" s="53" t="str">
        <x:f>IF(AND(U$6&gt;=$D20,U$6&lt;=$E20),1,"")</x:f>
      </x:c>
      <x:c r="V20" s="53" t="str">
        <x:f>IF(AND(V$6&gt;=$D20,V$6&lt;=$E20),1,"")</x:f>
      </x:c>
      <x:c r="W20" s="53" t="str">
        <x:f>IF(AND(W$6&gt;=$D20,W$6&lt;=$E20),1,"")</x:f>
      </x:c>
      <x:c r="X20" s="53" t="str">
        <x:f>IF(AND(X$6&gt;=$D20,X$6&lt;=$E20),1,"")</x:f>
      </x:c>
      <x:c r="Y20" s="53" t="str">
        <x:f>IF(AND(Y$6&gt;=$D20,Y$6&lt;=$E20),1,"")</x:f>
      </x:c>
      <x:c r="Z20" s="53" t="str">
        <x:f>IF(AND(Z$6&gt;=$D20,Z$6&lt;=$E20),1,"")</x:f>
      </x:c>
      <x:c r="AA20" s="53" t="str">
        <x:f>IF(AND(AA$6&gt;=$D20,AA$6&lt;=$E20),1,"")</x:f>
      </x:c>
      <x:c r="AB20" s="53" t="str">
        <x:f>IF(AND(AB$6&gt;=$D20,AB$6&lt;=$E20),1,"")</x:f>
      </x:c>
      <x:c r="AC20" s="53" t="str">
        <x:f>IF(AND(AC$6&gt;=$D20,AC$6&lt;=$E20),1,"")</x:f>
      </x:c>
      <x:c r="AD20" s="53" t="str">
        <x:f>IF(AND(AD$6&gt;=$D20,AD$6&lt;=$E20),1,"")</x:f>
      </x:c>
      <x:c r="AE20" s="53" t="str">
        <x:f>IF(AND(AE$6&gt;=$D20,AE$6&lt;=$E20),1,"")</x:f>
      </x:c>
      <x:c r="AF20" s="53" t="str">
        <x:f>IF(AND(AF$6&gt;=$D20,AF$6&lt;=$E20),1,"")</x:f>
      </x:c>
      <x:c r="AG20" s="53" t="str">
        <x:f>IF(AND(AG$6&gt;=$D20,AG$6&lt;=$E20),1,"")</x:f>
      </x:c>
      <x:c r="AH20" s="53" t="str">
        <x:f>IF(AND(AH$6&gt;=$D20,AH$6&lt;=$E20),1,"")</x:f>
      </x:c>
    </x:row>
    <x:row r="21">
      <x:c r="A21" s="41" t="str">
        <x:v>Stage 4</x:v>
      </x:c>
      <x:c r="B21" s="41" t="str">
        <x:v>Basic movement demo</x:v>
      </x:c>
      <x:c r="C21" s="41" t="str">
        <x:v>Create a small scripted movement sequence</x:v>
      </x:c>
      <x:c r="D21" s="42" t="n">
        <x:v>46307</x:v>
      </x:c>
      <x:c r="E21" s="42" t="n">
        <x:v>46313</x:v>
      </x:c>
      <x:c r="F21" s="43" t="n">
        <x:v>1</x:v>
      </x:c>
      <x:c r="G21" s="41" t="str">
        <x:v>Not Started</x:v>
      </x:c>
      <x:c r="H21" s="41" t="str">
        <x:v>Simple joint positions only.</x:v>
      </x:c>
      <x:c r="I21" s="53" t="str">
        <x:f>IF(AND(I$6&gt;=$D21,I$6&lt;=$E21),1,"")</x:f>
      </x:c>
      <x:c r="J21" s="53" t="str">
        <x:f>IF(AND(J$6&gt;=$D21,J$6&lt;=$E21),1,"")</x:f>
      </x:c>
      <x:c r="K21" s="53" t="str">
        <x:f>IF(AND(K$6&gt;=$D21,K$6&lt;=$E21),1,"")</x:f>
      </x:c>
      <x:c r="L21" s="53" t="str">
        <x:f>IF(AND(L$6&gt;=$D21,L$6&lt;=$E21),1,"")</x:f>
      </x:c>
      <x:c r="M21" s="53" t="str">
        <x:f>IF(AND(M$6&gt;=$D21,M$6&lt;=$E21),1,"")</x:f>
      </x:c>
      <x:c r="N21" s="53" t="str">
        <x:f>IF(AND(N$6&gt;=$D21,N$6&lt;=$E21),1,"")</x:f>
      </x:c>
      <x:c r="O21" s="53" t="str">
        <x:f>IF(AND(O$6&gt;=$D21,O$6&lt;=$E21),1,"")</x:f>
      </x:c>
      <x:c r="P21" s="53" t="str">
        <x:f>IF(AND(P$6&gt;=$D21,P$6&lt;=$E21),1,"")</x:f>
      </x:c>
      <x:c r="Q21" s="53" t="str">
        <x:f>IF(AND(Q$6&gt;=$D21,Q$6&lt;=$E21),1,"")</x:f>
      </x:c>
      <x:c r="R21" s="53" t="str">
        <x:f>IF(AND(R$6&gt;=$D21,R$6&lt;=$E21),1,"")</x:f>
      </x:c>
      <x:c r="S21" s="53" t="str">
        <x:f>IF(AND(S$6&gt;=$D21,S$6&lt;=$E21),1,"")</x:f>
      </x:c>
      <x:c r="T21" s="53" t="str">
        <x:f>IF(AND(T$6&gt;=$D21,T$6&lt;=$E21),1,"")</x:f>
      </x:c>
      <x:c r="U21" s="53" t="str">
        <x:f>IF(AND(U$6&gt;=$D21,U$6&lt;=$E21),1,"")</x:f>
      </x:c>
      <x:c r="V21" s="53" t="str">
        <x:f>IF(AND(V$6&gt;=$D21,V$6&lt;=$E21),1,"")</x:f>
      </x:c>
      <x:c r="W21" s="53" t="str">
        <x:f>IF(AND(W$6&gt;=$D21,W$6&lt;=$E21),1,"")</x:f>
      </x:c>
      <x:c r="X21" s="53" t="str">
        <x:f>IF(AND(X$6&gt;=$D21,X$6&lt;=$E21),1,"")</x:f>
      </x:c>
      <x:c r="Y21" s="53" t="str">
        <x:f>IF(AND(Y$6&gt;=$D21,Y$6&lt;=$E21),1,"")</x:f>
      </x:c>
      <x:c r="Z21" s="53" t="str">
        <x:f>IF(AND(Z$6&gt;=$D21,Z$6&lt;=$E21),1,"")</x:f>
      </x:c>
      <x:c r="AA21" s="53" t="str">
        <x:f>IF(AND(AA$6&gt;=$D21,AA$6&lt;=$E21),1,"")</x:f>
      </x:c>
      <x:c r="AB21" s="53" t="str">
        <x:f>IF(AND(AB$6&gt;=$D21,AB$6&lt;=$E21),1,"")</x:f>
      </x:c>
      <x:c r="AC21" s="53" t="str">
        <x:f>IF(AND(AC$6&gt;=$D21,AC$6&lt;=$E21),1,"")</x:f>
      </x:c>
      <x:c r="AD21" s="53" t="str">
        <x:f>IF(AND(AD$6&gt;=$D21,AD$6&lt;=$E21),1,"")</x:f>
      </x:c>
      <x:c r="AE21" s="53" t="str">
        <x:f>IF(AND(AE$6&gt;=$D21,AE$6&lt;=$E21),1,"")</x:f>
      </x:c>
      <x:c r="AF21" s="53" t="str">
        <x:f>IF(AND(AF$6&gt;=$D21,AF$6&lt;=$E21),1,"")</x:f>
      </x:c>
      <x:c r="AG21" s="53" t="str">
        <x:f>IF(AND(AG$6&gt;=$D21,AG$6&lt;=$E21),1,"")</x:f>
      </x:c>
      <x:c r="AH21" s="53" t="str">
        <x:f>IF(AND(AH$6&gt;=$D21,AH$6&lt;=$E21),1,"")</x:f>
      </x:c>
    </x:row>
    <x:row r="22">
      <x:c r="A22" s="41" t="str">
        <x:v>Stage 5</x:v>
      </x:c>
      <x:c r="B22" s="41" t="str">
        <x:v>Agent command interface</x:v>
      </x:c>
      <x:c r="C22" s="41" t="str">
        <x:v>Define safe functions the AI agent is allowed to call</x:v>
      </x:c>
      <x:c r="D22" s="42" t="n">
        <x:v>46314</x:v>
      </x:c>
      <x:c r="E22" s="42" t="n">
        <x:v>46320</x:v>
      </x:c>
      <x:c r="F22" s="43" t="n">
        <x:v>1</x:v>
      </x:c>
      <x:c r="G22" s="41" t="str">
        <x:v>Not Started</x:v>
      </x:c>
      <x:c r="H22" s="41" t="str">
        <x:v>Example: move_joint, move_home, run_demo.</x:v>
      </x:c>
      <x:c r="I22" s="53" t="str">
        <x:f>IF(AND(I$6&gt;=$D22,I$6&lt;=$E22),1,"")</x:f>
      </x:c>
      <x:c r="J22" s="53" t="str">
        <x:f>IF(AND(J$6&gt;=$D22,J$6&lt;=$E22),1,"")</x:f>
      </x:c>
      <x:c r="K22" s="53" t="str">
        <x:f>IF(AND(K$6&gt;=$D22,K$6&lt;=$E22),1,"")</x:f>
      </x:c>
      <x:c r="L22" s="53" t="str">
        <x:f>IF(AND(L$6&gt;=$D22,L$6&lt;=$E22),1,"")</x:f>
      </x:c>
      <x:c r="M22" s="53" t="str">
        <x:f>IF(AND(M$6&gt;=$D22,M$6&lt;=$E22),1,"")</x:f>
      </x:c>
      <x:c r="N22" s="53" t="str">
        <x:f>IF(AND(N$6&gt;=$D22,N$6&lt;=$E22),1,"")</x:f>
      </x:c>
      <x:c r="O22" s="53" t="str">
        <x:f>IF(AND(O$6&gt;=$D22,O$6&lt;=$E22),1,"")</x:f>
      </x:c>
      <x:c r="P22" s="53" t="str">
        <x:f>IF(AND(P$6&gt;=$D22,P$6&lt;=$E22),1,"")</x:f>
      </x:c>
      <x:c r="Q22" s="53" t="str">
        <x:f>IF(AND(Q$6&gt;=$D22,Q$6&lt;=$E22),1,"")</x:f>
      </x:c>
      <x:c r="R22" s="53" t="str">
        <x:f>IF(AND(R$6&gt;=$D22,R$6&lt;=$E22),1,"")</x:f>
      </x:c>
      <x:c r="S22" s="53" t="str">
        <x:f>IF(AND(S$6&gt;=$D22,S$6&lt;=$E22),1,"")</x:f>
      </x:c>
      <x:c r="T22" s="53" t="str">
        <x:f>IF(AND(T$6&gt;=$D22,T$6&lt;=$E22),1,"")</x:f>
      </x:c>
      <x:c r="U22" s="53" t="str">
        <x:f>IF(AND(U$6&gt;=$D22,U$6&lt;=$E22),1,"")</x:f>
      </x:c>
      <x:c r="V22" s="53" t="str">
        <x:f>IF(AND(V$6&gt;=$D22,V$6&lt;=$E22),1,"")</x:f>
      </x:c>
      <x:c r="W22" s="53" t="str">
        <x:f>IF(AND(W$6&gt;=$D22,W$6&lt;=$E22),1,"")</x:f>
      </x:c>
      <x:c r="X22" s="53" t="str">
        <x:f>IF(AND(X$6&gt;=$D22,X$6&lt;=$E22),1,"")</x:f>
      </x:c>
      <x:c r="Y22" s="53" t="str">
        <x:f>IF(AND(Y$6&gt;=$D22,Y$6&lt;=$E22),1,"")</x:f>
      </x:c>
      <x:c r="Z22" s="53" t="str">
        <x:f>IF(AND(Z$6&gt;=$D22,Z$6&lt;=$E22),1,"")</x:f>
      </x:c>
      <x:c r="AA22" s="53" t="str">
        <x:f>IF(AND(AA$6&gt;=$D22,AA$6&lt;=$E22),1,"")</x:f>
      </x:c>
      <x:c r="AB22" s="53" t="str">
        <x:f>IF(AND(AB$6&gt;=$D22,AB$6&lt;=$E22),1,"")</x:f>
      </x:c>
      <x:c r="AC22" s="53" t="str">
        <x:f>IF(AND(AC$6&gt;=$D22,AC$6&lt;=$E22),1,"")</x:f>
      </x:c>
      <x:c r="AD22" s="53" t="str">
        <x:f>IF(AND(AD$6&gt;=$D22,AD$6&lt;=$E22),1,"")</x:f>
      </x:c>
      <x:c r="AE22" s="53" t="str">
        <x:f>IF(AND(AE$6&gt;=$D22,AE$6&lt;=$E22),1,"")</x:f>
      </x:c>
      <x:c r="AF22" s="53" t="str">
        <x:f>IF(AND(AF$6&gt;=$D22,AF$6&lt;=$E22),1,"")</x:f>
      </x:c>
      <x:c r="AG22" s="53" t="str">
        <x:f>IF(AND(AG$6&gt;=$D22,AG$6&lt;=$E22),1,"")</x:f>
      </x:c>
      <x:c r="AH22" s="53" t="str">
        <x:f>IF(AND(AH$6&gt;=$D22,AH$6&lt;=$E22),1,"")</x:f>
      </x:c>
    </x:row>
    <x:row r="23">
      <x:c r="A23" s="41" t="str">
        <x:v>Stage 5</x:v>
      </x:c>
      <x:c r="B23" s="41" t="str">
        <x:v>Python tool wrapper</x:v>
      </x:c>
      <x:c r="C23" s="41" t="str">
        <x:v>Build a Python wrapper around the movement commands</x:v>
      </x:c>
      <x:c r="D23" s="42" t="n">
        <x:v>46321</x:v>
      </x:c>
      <x:c r="E23" s="42" t="n">
        <x:v>46327</x:v>
      </x:c>
      <x:c r="F23" s="43" t="n">
        <x:v>1</x:v>
      </x:c>
      <x:c r="G23" s="41" t="str">
        <x:v>Not Started</x:v>
      </x:c>
      <x:c r="H23" s="41" t="str">
        <x:v>Keep it deterministic and logged.</x:v>
      </x:c>
      <x:c r="I23" s="53" t="str">
        <x:f>IF(AND(I$6&gt;=$D23,I$6&lt;=$E23),1,"")</x:f>
      </x:c>
      <x:c r="J23" s="53" t="str">
        <x:f>IF(AND(J$6&gt;=$D23,J$6&lt;=$E23),1,"")</x:f>
      </x:c>
      <x:c r="K23" s="53" t="str">
        <x:f>IF(AND(K$6&gt;=$D23,K$6&lt;=$E23),1,"")</x:f>
      </x:c>
      <x:c r="L23" s="53" t="str">
        <x:f>IF(AND(L$6&gt;=$D23,L$6&lt;=$E23),1,"")</x:f>
      </x:c>
      <x:c r="M23" s="53" t="str">
        <x:f>IF(AND(M$6&gt;=$D23,M$6&lt;=$E23),1,"")</x:f>
      </x:c>
      <x:c r="N23" s="53" t="str">
        <x:f>IF(AND(N$6&gt;=$D23,N$6&lt;=$E23),1,"")</x:f>
      </x:c>
      <x:c r="O23" s="53" t="str">
        <x:f>IF(AND(O$6&gt;=$D23,O$6&lt;=$E23),1,"")</x:f>
      </x:c>
      <x:c r="P23" s="53" t="str">
        <x:f>IF(AND(P$6&gt;=$D23,P$6&lt;=$E23),1,"")</x:f>
      </x:c>
      <x:c r="Q23" s="53" t="str">
        <x:f>IF(AND(Q$6&gt;=$D23,Q$6&lt;=$E23),1,"")</x:f>
      </x:c>
      <x:c r="R23" s="53" t="str">
        <x:f>IF(AND(R$6&gt;=$D23,R$6&lt;=$E23),1,"")</x:f>
      </x:c>
      <x:c r="S23" s="53" t="str">
        <x:f>IF(AND(S$6&gt;=$D23,S$6&lt;=$E23),1,"")</x:f>
      </x:c>
      <x:c r="T23" s="53" t="str">
        <x:f>IF(AND(T$6&gt;=$D23,T$6&lt;=$E23),1,"")</x:f>
      </x:c>
      <x:c r="U23" s="53" t="str">
        <x:f>IF(AND(U$6&gt;=$D23,U$6&lt;=$E23),1,"")</x:f>
      </x:c>
      <x:c r="V23" s="53" t="str">
        <x:f>IF(AND(V$6&gt;=$D23,V$6&lt;=$E23),1,"")</x:f>
      </x:c>
      <x:c r="W23" s="53" t="str">
        <x:f>IF(AND(W$6&gt;=$D23,W$6&lt;=$E23),1,"")</x:f>
      </x:c>
      <x:c r="X23" s="53" t="str">
        <x:f>IF(AND(X$6&gt;=$D23,X$6&lt;=$E23),1,"")</x:f>
      </x:c>
      <x:c r="Y23" s="53" t="str">
        <x:f>IF(AND(Y$6&gt;=$D23,Y$6&lt;=$E23),1,"")</x:f>
      </x:c>
      <x:c r="Z23" s="53" t="str">
        <x:f>IF(AND(Z$6&gt;=$D23,Z$6&lt;=$E23),1,"")</x:f>
      </x:c>
      <x:c r="AA23" s="53" t="str">
        <x:f>IF(AND(AA$6&gt;=$D23,AA$6&lt;=$E23),1,"")</x:f>
      </x:c>
      <x:c r="AB23" s="53" t="str">
        <x:f>IF(AND(AB$6&gt;=$D23,AB$6&lt;=$E23),1,"")</x:f>
      </x:c>
      <x:c r="AC23" s="53" t="str">
        <x:f>IF(AND(AC$6&gt;=$D23,AC$6&lt;=$E23),1,"")</x:f>
      </x:c>
      <x:c r="AD23" s="53" t="str">
        <x:f>IF(AND(AD$6&gt;=$D23,AD$6&lt;=$E23),1,"")</x:f>
      </x:c>
      <x:c r="AE23" s="53" t="str">
        <x:f>IF(AND(AE$6&gt;=$D23,AE$6&lt;=$E23),1,"")</x:f>
      </x:c>
      <x:c r="AF23" s="53" t="str">
        <x:f>IF(AND(AF$6&gt;=$D23,AF$6&lt;=$E23),1,"")</x:f>
      </x:c>
      <x:c r="AG23" s="53" t="str">
        <x:f>IF(AND(AG$6&gt;=$D23,AG$6&lt;=$E23),1,"")</x:f>
      </x:c>
      <x:c r="AH23" s="53" t="str">
        <x:f>IF(AND(AH$6&gt;=$D23,AH$6&lt;=$E23),1,"")</x:f>
      </x:c>
    </x:row>
    <x:row r="24">
      <x:c r="A24" s="41" t="str">
        <x:v>Stage 5</x:v>
      </x:c>
      <x:c r="B24" s="41" t="str">
        <x:v>AI prompt workflow</x:v>
      </x:c>
      <x:c r="C24" s="41" t="str">
        <x:v>Write prompt that converts plain language into safe command calls</x:v>
      </x:c>
      <x:c r="D24" s="42" t="n">
        <x:v>46328</x:v>
      </x:c>
      <x:c r="E24" s="42" t="n">
        <x:v>46334</x:v>
      </x:c>
      <x:c r="F24" s="43" t="n">
        <x:v>1</x:v>
      </x:c>
      <x:c r="G24" s="41" t="str">
        <x:v>Not Started</x:v>
      </x:c>
      <x:c r="H24" s="41" t="str">
        <x:v>No direct uncontrolled robot movement.</x:v>
      </x:c>
      <x:c r="I24" s="53" t="str">
        <x:f>IF(AND(I$6&gt;=$D24,I$6&lt;=$E24),1,"")</x:f>
      </x:c>
      <x:c r="J24" s="53" t="str">
        <x:f>IF(AND(J$6&gt;=$D24,J$6&lt;=$E24),1,"")</x:f>
      </x:c>
      <x:c r="K24" s="53" t="str">
        <x:f>IF(AND(K$6&gt;=$D24,K$6&lt;=$E24),1,"")</x:f>
      </x:c>
      <x:c r="L24" s="53" t="str">
        <x:f>IF(AND(L$6&gt;=$D24,L$6&lt;=$E24),1,"")</x:f>
      </x:c>
      <x:c r="M24" s="53" t="str">
        <x:f>IF(AND(M$6&gt;=$D24,M$6&lt;=$E24),1,"")</x:f>
      </x:c>
      <x:c r="N24" s="53" t="str">
        <x:f>IF(AND(N$6&gt;=$D24,N$6&lt;=$E24),1,"")</x:f>
      </x:c>
      <x:c r="O24" s="53" t="str">
        <x:f>IF(AND(O$6&gt;=$D24,O$6&lt;=$E24),1,"")</x:f>
      </x:c>
      <x:c r="P24" s="53" t="str">
        <x:f>IF(AND(P$6&gt;=$D24,P$6&lt;=$E24),1,"")</x:f>
      </x:c>
      <x:c r="Q24" s="53" t="str">
        <x:f>IF(AND(Q$6&gt;=$D24,Q$6&lt;=$E24),1,"")</x:f>
      </x:c>
      <x:c r="R24" s="53" t="str">
        <x:f>IF(AND(R$6&gt;=$D24,R$6&lt;=$E24),1,"")</x:f>
      </x:c>
      <x:c r="S24" s="53" t="str">
        <x:f>IF(AND(S$6&gt;=$D24,S$6&lt;=$E24),1,"")</x:f>
      </x:c>
      <x:c r="T24" s="53" t="str">
        <x:f>IF(AND(T$6&gt;=$D24,T$6&lt;=$E24),1,"")</x:f>
      </x:c>
      <x:c r="U24" s="53" t="str">
        <x:f>IF(AND(U$6&gt;=$D24,U$6&lt;=$E24),1,"")</x:f>
      </x:c>
      <x:c r="V24" s="53" t="str">
        <x:f>IF(AND(V$6&gt;=$D24,V$6&lt;=$E24),1,"")</x:f>
      </x:c>
      <x:c r="W24" s="53" t="str">
        <x:f>IF(AND(W$6&gt;=$D24,W$6&lt;=$E24),1,"")</x:f>
      </x:c>
      <x:c r="X24" s="53" t="str">
        <x:f>IF(AND(X$6&gt;=$D24,X$6&lt;=$E24),1,"")</x:f>
      </x:c>
      <x:c r="Y24" s="53" t="str">
        <x:f>IF(AND(Y$6&gt;=$D24,Y$6&lt;=$E24),1,"")</x:f>
      </x:c>
      <x:c r="Z24" s="53" t="str">
        <x:f>IF(AND(Z$6&gt;=$D24,Z$6&lt;=$E24),1,"")</x:f>
      </x:c>
      <x:c r="AA24" s="53" t="str">
        <x:f>IF(AND(AA$6&gt;=$D24,AA$6&lt;=$E24),1,"")</x:f>
      </x:c>
      <x:c r="AB24" s="53" t="str">
        <x:f>IF(AND(AB$6&gt;=$D24,AB$6&lt;=$E24),1,"")</x:f>
      </x:c>
      <x:c r="AC24" s="53" t="str">
        <x:f>IF(AND(AC$6&gt;=$D24,AC$6&lt;=$E24),1,"")</x:f>
      </x:c>
      <x:c r="AD24" s="53" t="str">
        <x:f>IF(AND(AD$6&gt;=$D24,AD$6&lt;=$E24),1,"")</x:f>
      </x:c>
      <x:c r="AE24" s="53" t="str">
        <x:f>IF(AND(AE$6&gt;=$D24,AE$6&lt;=$E24),1,"")</x:f>
      </x:c>
      <x:c r="AF24" s="53" t="str">
        <x:f>IF(AND(AF$6&gt;=$D24,AF$6&lt;=$E24),1,"")</x:f>
      </x:c>
      <x:c r="AG24" s="53" t="str">
        <x:f>IF(AND(AG$6&gt;=$D24,AG$6&lt;=$E24),1,"")</x:f>
      </x:c>
      <x:c r="AH24" s="53" t="str">
        <x:f>IF(AND(AH$6&gt;=$D24,AH$6&lt;=$E24),1,"")</x:f>
      </x:c>
    </x:row>
    <x:row r="25">
      <x:c r="A25" s="41" t="str">
        <x:v>Stage 5</x:v>
      </x:c>
      <x:c r="B25" s="41" t="str">
        <x:v>Simulated AI control test</x:v>
      </x:c>
      <x:c r="C25" s="41" t="str">
        <x:v>Run 2-3 example commands and capture results</x:v>
      </x:c>
      <x:c r="D25" s="42" t="n">
        <x:v>46335</x:v>
      </x:c>
      <x:c r="E25" s="42" t="n">
        <x:v>46341</x:v>
      </x:c>
      <x:c r="F25" s="43" t="n">
        <x:v>1</x:v>
      </x:c>
      <x:c r="G25" s="41" t="str">
        <x:v>Not Started</x:v>
      </x:c>
      <x:c r="H25" s="41" t="str">
        <x:v>Evidence: screenshots or terminal logs.</x:v>
      </x:c>
      <x:c r="I25" s="53" t="str">
        <x:f>IF(AND(I$6&gt;=$D25,I$6&lt;=$E25),1,"")</x:f>
      </x:c>
      <x:c r="J25" s="53" t="str">
        <x:f>IF(AND(J$6&gt;=$D25,J$6&lt;=$E25),1,"")</x:f>
      </x:c>
      <x:c r="K25" s="53" t="str">
        <x:f>IF(AND(K$6&gt;=$D25,K$6&lt;=$E25),1,"")</x:f>
      </x:c>
      <x:c r="L25" s="53" t="str">
        <x:f>IF(AND(L$6&gt;=$D25,L$6&lt;=$E25),1,"")</x:f>
      </x:c>
      <x:c r="M25" s="53" t="str">
        <x:f>IF(AND(M$6&gt;=$D25,M$6&lt;=$E25),1,"")</x:f>
      </x:c>
      <x:c r="N25" s="53" t="str">
        <x:f>IF(AND(N$6&gt;=$D25,N$6&lt;=$E25),1,"")</x:f>
      </x:c>
      <x:c r="O25" s="53" t="str">
        <x:f>IF(AND(O$6&gt;=$D25,O$6&lt;=$E25),1,"")</x:f>
      </x:c>
      <x:c r="P25" s="53" t="str">
        <x:f>IF(AND(P$6&gt;=$D25,P$6&lt;=$E25),1,"")</x:f>
      </x:c>
      <x:c r="Q25" s="53" t="str">
        <x:f>IF(AND(Q$6&gt;=$D25,Q$6&lt;=$E25),1,"")</x:f>
      </x:c>
      <x:c r="R25" s="53" t="str">
        <x:f>IF(AND(R$6&gt;=$D25,R$6&lt;=$E25),1,"")</x:f>
      </x:c>
      <x:c r="S25" s="53" t="str">
        <x:f>IF(AND(S$6&gt;=$D25,S$6&lt;=$E25),1,"")</x:f>
      </x:c>
      <x:c r="T25" s="53" t="str">
        <x:f>IF(AND(T$6&gt;=$D25,T$6&lt;=$E25),1,"")</x:f>
      </x:c>
      <x:c r="U25" s="53" t="str">
        <x:f>IF(AND(U$6&gt;=$D25,U$6&lt;=$E25),1,"")</x:f>
      </x:c>
      <x:c r="V25" s="53" t="str">
        <x:f>IF(AND(V$6&gt;=$D25,V$6&lt;=$E25),1,"")</x:f>
      </x:c>
      <x:c r="W25" s="53" t="str">
        <x:f>IF(AND(W$6&gt;=$D25,W$6&lt;=$E25),1,"")</x:f>
      </x:c>
      <x:c r="X25" s="53" t="str">
        <x:f>IF(AND(X$6&gt;=$D25,X$6&lt;=$E25),1,"")</x:f>
      </x:c>
      <x:c r="Y25" s="53" t="str">
        <x:f>IF(AND(Y$6&gt;=$D25,Y$6&lt;=$E25),1,"")</x:f>
      </x:c>
      <x:c r="Z25" s="53" t="str">
        <x:f>IF(AND(Z$6&gt;=$D25,Z$6&lt;=$E25),1,"")</x:f>
      </x:c>
      <x:c r="AA25" s="53" t="str">
        <x:f>IF(AND(AA$6&gt;=$D25,AA$6&lt;=$E25),1,"")</x:f>
      </x:c>
      <x:c r="AB25" s="53" t="str">
        <x:f>IF(AND(AB$6&gt;=$D25,AB$6&lt;=$E25),1,"")</x:f>
      </x:c>
      <x:c r="AC25" s="53" t="str">
        <x:f>IF(AND(AC$6&gt;=$D25,AC$6&lt;=$E25),1,"")</x:f>
      </x:c>
      <x:c r="AD25" s="53" t="str">
        <x:f>IF(AND(AD$6&gt;=$D25,AD$6&lt;=$E25),1,"")</x:f>
      </x:c>
      <x:c r="AE25" s="53" t="str">
        <x:f>IF(AND(AE$6&gt;=$D25,AE$6&lt;=$E25),1,"")</x:f>
      </x:c>
      <x:c r="AF25" s="53" t="str">
        <x:f>IF(AND(AF$6&gt;=$D25,AF$6&lt;=$E25),1,"")</x:f>
      </x:c>
      <x:c r="AG25" s="53" t="str">
        <x:f>IF(AND(AG$6&gt;=$D25,AG$6&lt;=$E25),1,"")</x:f>
      </x:c>
      <x:c r="AH25" s="53" t="str">
        <x:f>IF(AND(AH$6&gt;=$D25,AH$6&lt;=$E25),1,"")</x:f>
      </x:c>
    </x:row>
    <x:row r="26">
      <x:c r="A26" s="41" t="str">
        <x:v>Stage 6</x:v>
      </x:c>
      <x:c r="B26" s="41" t="str">
        <x:v>Future welding workflow map</x:v>
      </x:c>
      <x:c r="C26" s="41" t="str">
        <x:v>Sketch future vision/welding concept at high level only</x:v>
      </x:c>
      <x:c r="D26" s="42" t="n">
        <x:v>46342</x:v>
      </x:c>
      <x:c r="E26" s="42" t="n">
        <x:v>46348</x:v>
      </x:c>
      <x:c r="F26" s="43" t="n">
        <x:v>1</x:v>
      </x:c>
      <x:c r="G26" s="41" t="str">
        <x:v>Not Started</x:v>
      </x:c>
      <x:c r="H26" s="41" t="str">
        <x:v>No welding automation detail required now.</x:v>
      </x:c>
      <x:c r="I26" s="53" t="str">
        <x:f>IF(AND(I$6&gt;=$D26,I$6&lt;=$E26),1,"")</x:f>
      </x:c>
      <x:c r="J26" s="53" t="str">
        <x:f>IF(AND(J$6&gt;=$D26,J$6&lt;=$E26),1,"")</x:f>
      </x:c>
      <x:c r="K26" s="53" t="str">
        <x:f>IF(AND(K$6&gt;=$D26,K$6&lt;=$E26),1,"")</x:f>
      </x:c>
      <x:c r="L26" s="53" t="str">
        <x:f>IF(AND(L$6&gt;=$D26,L$6&lt;=$E26),1,"")</x:f>
      </x:c>
      <x:c r="M26" s="53" t="str">
        <x:f>IF(AND(M$6&gt;=$D26,M$6&lt;=$E26),1,"")</x:f>
      </x:c>
      <x:c r="N26" s="53" t="str">
        <x:f>IF(AND(N$6&gt;=$D26,N$6&lt;=$E26),1,"")</x:f>
      </x:c>
      <x:c r="O26" s="53" t="str">
        <x:f>IF(AND(O$6&gt;=$D26,O$6&lt;=$E26),1,"")</x:f>
      </x:c>
      <x:c r="P26" s="53" t="str">
        <x:f>IF(AND(P$6&gt;=$D26,P$6&lt;=$E26),1,"")</x:f>
      </x:c>
      <x:c r="Q26" s="53" t="str">
        <x:f>IF(AND(Q$6&gt;=$D26,Q$6&lt;=$E26),1,"")</x:f>
      </x:c>
      <x:c r="R26" s="53" t="str">
        <x:f>IF(AND(R$6&gt;=$D26,R$6&lt;=$E26),1,"")</x:f>
      </x:c>
      <x:c r="S26" s="53" t="str">
        <x:f>IF(AND(S$6&gt;=$D26,S$6&lt;=$E26),1,"")</x:f>
      </x:c>
      <x:c r="T26" s="53" t="str">
        <x:f>IF(AND(T$6&gt;=$D26,T$6&lt;=$E26),1,"")</x:f>
      </x:c>
      <x:c r="U26" s="53" t="str">
        <x:f>IF(AND(U$6&gt;=$D26,U$6&lt;=$E26),1,"")</x:f>
      </x:c>
      <x:c r="V26" s="53" t="str">
        <x:f>IF(AND(V$6&gt;=$D26,V$6&lt;=$E26),1,"")</x:f>
      </x:c>
      <x:c r="W26" s="53" t="str">
        <x:f>IF(AND(W$6&gt;=$D26,W$6&lt;=$E26),1,"")</x:f>
      </x:c>
      <x:c r="X26" s="53" t="str">
        <x:f>IF(AND(X$6&gt;=$D26,X$6&lt;=$E26),1,"")</x:f>
      </x:c>
      <x:c r="Y26" s="53" t="str">
        <x:f>IF(AND(Y$6&gt;=$D26,Y$6&lt;=$E26),1,"")</x:f>
      </x:c>
      <x:c r="Z26" s="53" t="str">
        <x:f>IF(AND(Z$6&gt;=$D26,Z$6&lt;=$E26),1,"")</x:f>
      </x:c>
      <x:c r="AA26" s="53" t="str">
        <x:f>IF(AND(AA$6&gt;=$D26,AA$6&lt;=$E26),1,"")</x:f>
      </x:c>
      <x:c r="AB26" s="53" t="str">
        <x:f>IF(AND(AB$6&gt;=$D26,AB$6&lt;=$E26),1,"")</x:f>
      </x:c>
      <x:c r="AC26" s="53" t="str">
        <x:f>IF(AND(AC$6&gt;=$D26,AC$6&lt;=$E26),1,"")</x:f>
      </x:c>
      <x:c r="AD26" s="53" t="str">
        <x:f>IF(AND(AD$6&gt;=$D26,AD$6&lt;=$E26),1,"")</x:f>
      </x:c>
      <x:c r="AE26" s="53" t="str">
        <x:f>IF(AND(AE$6&gt;=$D26,AE$6&lt;=$E26),1,"")</x:f>
      </x:c>
      <x:c r="AF26" s="53" t="str">
        <x:f>IF(AND(AF$6&gt;=$D26,AF$6&lt;=$E26),1,"")</x:f>
      </x:c>
      <x:c r="AG26" s="53" t="str">
        <x:f>IF(AND(AG$6&gt;=$D26,AG$6&lt;=$E26),1,"")</x:f>
      </x:c>
      <x:c r="AH26" s="53" t="str">
        <x:f>IF(AND(AH$6&gt;=$D26,AH$6&lt;=$E26),1,"")</x:f>
      </x:c>
    </x:row>
    <x:row r="27">
      <x:c r="A27" s="41" t="str">
        <x:v>Stage 6</x:v>
      </x:c>
      <x:c r="B27" s="41" t="str">
        <x:v>Vision placeholder demo</x:v>
      </x:c>
      <x:c r="C27" s="41" t="str">
        <x:v>Create placeholder script or diagram for camera detection pipeline</x:v>
      </x:c>
      <x:c r="D27" s="42" t="n">
        <x:v>46349</x:v>
      </x:c>
      <x:c r="E27" s="42" t="n">
        <x:v>46355</x:v>
      </x:c>
      <x:c r="F27" s="43" t="n">
        <x:v>1</x:v>
      </x:c>
      <x:c r="G27" s="41" t="str">
        <x:v>Not Started</x:v>
      </x:c>
      <x:c r="H27" s="41" t="str">
        <x:v>Can be pseudo-code.</x:v>
      </x:c>
      <x:c r="I27" s="53" t="str">
        <x:f>IF(AND(I$6&gt;=$D27,I$6&lt;=$E27),1,"")</x:f>
      </x:c>
      <x:c r="J27" s="53" t="str">
        <x:f>IF(AND(J$6&gt;=$D27,J$6&lt;=$E27),1,"")</x:f>
      </x:c>
      <x:c r="K27" s="53" t="str">
        <x:f>IF(AND(K$6&gt;=$D27,K$6&lt;=$E27),1,"")</x:f>
      </x:c>
      <x:c r="L27" s="53" t="str">
        <x:f>IF(AND(L$6&gt;=$D27,L$6&lt;=$E27),1,"")</x:f>
      </x:c>
      <x:c r="M27" s="53" t="str">
        <x:f>IF(AND(M$6&gt;=$D27,M$6&lt;=$E27),1,"")</x:f>
      </x:c>
      <x:c r="N27" s="53" t="str">
        <x:f>IF(AND(N$6&gt;=$D27,N$6&lt;=$E27),1,"")</x:f>
      </x:c>
      <x:c r="O27" s="53" t="str">
        <x:f>IF(AND(O$6&gt;=$D27,O$6&lt;=$E27),1,"")</x:f>
      </x:c>
      <x:c r="P27" s="53" t="str">
        <x:f>IF(AND(P$6&gt;=$D27,P$6&lt;=$E27),1,"")</x:f>
      </x:c>
      <x:c r="Q27" s="53" t="str">
        <x:f>IF(AND(Q$6&gt;=$D27,Q$6&lt;=$E27),1,"")</x:f>
      </x:c>
      <x:c r="R27" s="53" t="str">
        <x:f>IF(AND(R$6&gt;=$D27,R$6&lt;=$E27),1,"")</x:f>
      </x:c>
      <x:c r="S27" s="53" t="str">
        <x:f>IF(AND(S$6&gt;=$D27,S$6&lt;=$E27),1,"")</x:f>
      </x:c>
      <x:c r="T27" s="53" t="str">
        <x:f>IF(AND(T$6&gt;=$D27,T$6&lt;=$E27),1,"")</x:f>
      </x:c>
      <x:c r="U27" s="53" t="str">
        <x:f>IF(AND(U$6&gt;=$D27,U$6&lt;=$E27),1,"")</x:f>
      </x:c>
      <x:c r="V27" s="53" t="str">
        <x:f>IF(AND(V$6&gt;=$D27,V$6&lt;=$E27),1,"")</x:f>
      </x:c>
      <x:c r="W27" s="53" t="str">
        <x:f>IF(AND(W$6&gt;=$D27,W$6&lt;=$E27),1,"")</x:f>
      </x:c>
      <x:c r="X27" s="53" t="str">
        <x:f>IF(AND(X$6&gt;=$D27,X$6&lt;=$E27),1,"")</x:f>
      </x:c>
      <x:c r="Y27" s="53" t="str">
        <x:f>IF(AND(Y$6&gt;=$D27,Y$6&lt;=$E27),1,"")</x:f>
      </x:c>
      <x:c r="Z27" s="53" t="str">
        <x:f>IF(AND(Z$6&gt;=$D27,Z$6&lt;=$E27),1,"")</x:f>
      </x:c>
      <x:c r="AA27" s="53" t="str">
        <x:f>IF(AND(AA$6&gt;=$D27,AA$6&lt;=$E27),1,"")</x:f>
      </x:c>
      <x:c r="AB27" s="53" t="str">
        <x:f>IF(AND(AB$6&gt;=$D27,AB$6&lt;=$E27),1,"")</x:f>
      </x:c>
      <x:c r="AC27" s="53" t="str">
        <x:f>IF(AND(AC$6&gt;=$D27,AC$6&lt;=$E27),1,"")</x:f>
      </x:c>
      <x:c r="AD27" s="53" t="str">
        <x:f>IF(AND(AD$6&gt;=$D27,AD$6&lt;=$E27),1,"")</x:f>
      </x:c>
      <x:c r="AE27" s="53" t="str">
        <x:f>IF(AND(AE$6&gt;=$D27,AE$6&lt;=$E27),1,"")</x:f>
      </x:c>
      <x:c r="AF27" s="53" t="str">
        <x:f>IF(AND(AF$6&gt;=$D27,AF$6&lt;=$E27),1,"")</x:f>
      </x:c>
      <x:c r="AG27" s="53" t="str">
        <x:f>IF(AND(AG$6&gt;=$D27,AG$6&lt;=$E27),1,"")</x:f>
      </x:c>
      <x:c r="AH27" s="53" t="str">
        <x:f>IF(AND(AH$6&gt;=$D27,AH$6&lt;=$E27),1,"")</x:f>
      </x:c>
    </x:row>
    <x:row r="28">
      <x:c r="A28" s="41" t="str">
        <x:v>Stage 7</x:v>
      </x:c>
      <x:c r="B28" s="41" t="str">
        <x:v>GitHub cleanup</x:v>
      </x:c>
      <x:c r="C28" s="41" t="str">
        <x:v>Clean folders, README, screenshots, and deliverables</x:v>
      </x:c>
      <x:c r="D28" s="42" t="n">
        <x:v>46356</x:v>
      </x:c>
      <x:c r="E28" s="42" t="n">
        <x:v>46362</x:v>
      </x:c>
      <x:c r="F28" s="43" t="n">
        <x:v>1</x:v>
      </x:c>
      <x:c r="G28" s="41" t="str">
        <x:v>Not Started</x:v>
      </x:c>
      <x:c r="H28" s="41" t="str">
        <x:v>Make it employer-readable.</x:v>
      </x:c>
      <x:c r="I28" s="53" t="str">
        <x:f>IF(AND(I$6&gt;=$D28,I$6&lt;=$E28),1,"")</x:f>
      </x:c>
      <x:c r="J28" s="53" t="str">
        <x:f>IF(AND(J$6&gt;=$D28,J$6&lt;=$E28),1,"")</x:f>
      </x:c>
      <x:c r="K28" s="53" t="str">
        <x:f>IF(AND(K$6&gt;=$D28,K$6&lt;=$E28),1,"")</x:f>
      </x:c>
      <x:c r="L28" s="53" t="str">
        <x:f>IF(AND(L$6&gt;=$D28,L$6&lt;=$E28),1,"")</x:f>
      </x:c>
      <x:c r="M28" s="53" t="str">
        <x:f>IF(AND(M$6&gt;=$D28,M$6&lt;=$E28),1,"")</x:f>
      </x:c>
      <x:c r="N28" s="53" t="str">
        <x:f>IF(AND(N$6&gt;=$D28,N$6&lt;=$E28),1,"")</x:f>
      </x:c>
      <x:c r="O28" s="53" t="str">
        <x:f>IF(AND(O$6&gt;=$D28,O$6&lt;=$E28),1,"")</x:f>
      </x:c>
      <x:c r="P28" s="53" t="str">
        <x:f>IF(AND(P$6&gt;=$D28,P$6&lt;=$E28),1,"")</x:f>
      </x:c>
      <x:c r="Q28" s="53" t="str">
        <x:f>IF(AND(Q$6&gt;=$D28,Q$6&lt;=$E28),1,"")</x:f>
      </x:c>
      <x:c r="R28" s="53" t="str">
        <x:f>IF(AND(R$6&gt;=$D28,R$6&lt;=$E28),1,"")</x:f>
      </x:c>
      <x:c r="S28" s="53" t="str">
        <x:f>IF(AND(S$6&gt;=$D28,S$6&lt;=$E28),1,"")</x:f>
      </x:c>
      <x:c r="T28" s="53" t="str">
        <x:f>IF(AND(T$6&gt;=$D28,T$6&lt;=$E28),1,"")</x:f>
      </x:c>
      <x:c r="U28" s="53" t="str">
        <x:f>IF(AND(U$6&gt;=$D28,U$6&lt;=$E28),1,"")</x:f>
      </x:c>
      <x:c r="V28" s="53" t="str">
        <x:f>IF(AND(V$6&gt;=$D28,V$6&lt;=$E28),1,"")</x:f>
      </x:c>
      <x:c r="W28" s="53" t="str">
        <x:f>IF(AND(W$6&gt;=$D28,W$6&lt;=$E28),1,"")</x:f>
      </x:c>
      <x:c r="X28" s="53" t="str">
        <x:f>IF(AND(X$6&gt;=$D28,X$6&lt;=$E28),1,"")</x:f>
      </x:c>
      <x:c r="Y28" s="53" t="str">
        <x:f>IF(AND(Y$6&gt;=$D28,Y$6&lt;=$E28),1,"")</x:f>
      </x:c>
      <x:c r="Z28" s="53" t="str">
        <x:f>IF(AND(Z$6&gt;=$D28,Z$6&lt;=$E28),1,"")</x:f>
      </x:c>
      <x:c r="AA28" s="53" t="str">
        <x:f>IF(AND(AA$6&gt;=$D28,AA$6&lt;=$E28),1,"")</x:f>
      </x:c>
      <x:c r="AB28" s="53" t="str">
        <x:f>IF(AND(AB$6&gt;=$D28,AB$6&lt;=$E28),1,"")</x:f>
      </x:c>
      <x:c r="AC28" s="53" t="str">
        <x:f>IF(AND(AC$6&gt;=$D28,AC$6&lt;=$E28),1,"")</x:f>
      </x:c>
      <x:c r="AD28" s="53" t="str">
        <x:f>IF(AND(AD$6&gt;=$D28,AD$6&lt;=$E28),1,"")</x:f>
      </x:c>
      <x:c r="AE28" s="53" t="str">
        <x:f>IF(AND(AE$6&gt;=$D28,AE$6&lt;=$E28),1,"")</x:f>
      </x:c>
      <x:c r="AF28" s="53" t="str">
        <x:f>IF(AND(AF$6&gt;=$D28,AF$6&lt;=$E28),1,"")</x:f>
      </x:c>
      <x:c r="AG28" s="53" t="str">
        <x:f>IF(AND(AG$6&gt;=$D28,AG$6&lt;=$E28),1,"")</x:f>
      </x:c>
      <x:c r="AH28" s="53" t="str">
        <x:f>IF(AND(AH$6&gt;=$D28,AH$6&lt;=$E28),1,"")</x:f>
      </x:c>
    </x:row>
    <x:row r="29">
      <x:c r="A29" s="41" t="str">
        <x:v>Stage 7</x:v>
      </x:c>
      <x:c r="B29" s="41" t="str">
        <x:v>Portfolio write-up</x:v>
      </x:c>
      <x:c r="C29" s="41" t="str">
        <x:v>Write concise project page: problem, method, tools, result</x:v>
      </x:c>
      <x:c r="D29" s="42" t="n">
        <x:v>46363</x:v>
      </x:c>
      <x:c r="E29" s="42" t="n">
        <x:v>46369</x:v>
      </x:c>
      <x:c r="F29" s="43" t="n">
        <x:v>1</x:v>
      </x:c>
      <x:c r="G29" s="41" t="str">
        <x:v>Not Started</x:v>
      </x:c>
      <x:c r="H29" s="41" t="str">
        <x:v>1-2 pages max.</x:v>
      </x:c>
      <x:c r="I29" s="53" t="str">
        <x:f>IF(AND(I$6&gt;=$D29,I$6&lt;=$E29),1,"")</x:f>
      </x:c>
      <x:c r="J29" s="53" t="str">
        <x:f>IF(AND(J$6&gt;=$D29,J$6&lt;=$E29),1,"")</x:f>
      </x:c>
      <x:c r="K29" s="53" t="str">
        <x:f>IF(AND(K$6&gt;=$D29,K$6&lt;=$E29),1,"")</x:f>
      </x:c>
      <x:c r="L29" s="53" t="str">
        <x:f>IF(AND(L$6&gt;=$D29,L$6&lt;=$E29),1,"")</x:f>
      </x:c>
      <x:c r="M29" s="53" t="str">
        <x:f>IF(AND(M$6&gt;=$D29,M$6&lt;=$E29),1,"")</x:f>
      </x:c>
      <x:c r="N29" s="53" t="str">
        <x:f>IF(AND(N$6&gt;=$D29,N$6&lt;=$E29),1,"")</x:f>
      </x:c>
      <x:c r="O29" s="53" t="str">
        <x:f>IF(AND(O$6&gt;=$D29,O$6&lt;=$E29),1,"")</x:f>
      </x:c>
      <x:c r="P29" s="53" t="str">
        <x:f>IF(AND(P$6&gt;=$D29,P$6&lt;=$E29),1,"")</x:f>
      </x:c>
      <x:c r="Q29" s="53" t="str">
        <x:f>IF(AND(Q$6&gt;=$D29,Q$6&lt;=$E29),1,"")</x:f>
      </x:c>
      <x:c r="R29" s="53" t="str">
        <x:f>IF(AND(R$6&gt;=$D29,R$6&lt;=$E29),1,"")</x:f>
      </x:c>
      <x:c r="S29" s="53" t="str">
        <x:f>IF(AND(S$6&gt;=$D29,S$6&lt;=$E29),1,"")</x:f>
      </x:c>
      <x:c r="T29" s="53" t="str">
        <x:f>IF(AND(T$6&gt;=$D29,T$6&lt;=$E29),1,"")</x:f>
      </x:c>
      <x:c r="U29" s="53" t="str">
        <x:f>IF(AND(U$6&gt;=$D29,U$6&lt;=$E29),1,"")</x:f>
      </x:c>
      <x:c r="V29" s="53" t="str">
        <x:f>IF(AND(V$6&gt;=$D29,V$6&lt;=$E29),1,"")</x:f>
      </x:c>
      <x:c r="W29" s="53" t="str">
        <x:f>IF(AND(W$6&gt;=$D29,W$6&lt;=$E29),1,"")</x:f>
      </x:c>
      <x:c r="X29" s="53" t="str">
        <x:f>IF(AND(X$6&gt;=$D29,X$6&lt;=$E29),1,"")</x:f>
      </x:c>
      <x:c r="Y29" s="53" t="str">
        <x:f>IF(AND(Y$6&gt;=$D29,Y$6&lt;=$E29),1,"")</x:f>
      </x:c>
      <x:c r="Z29" s="53" t="str">
        <x:f>IF(AND(Z$6&gt;=$D29,Z$6&lt;=$E29),1,"")</x:f>
      </x:c>
      <x:c r="AA29" s="53" t="str">
        <x:f>IF(AND(AA$6&gt;=$D29,AA$6&lt;=$E29),1,"")</x:f>
      </x:c>
      <x:c r="AB29" s="53" t="str">
        <x:f>IF(AND(AB$6&gt;=$D29,AB$6&lt;=$E29),1,"")</x:f>
      </x:c>
      <x:c r="AC29" s="53" t="str">
        <x:f>IF(AND(AC$6&gt;=$D29,AC$6&lt;=$E29),1,"")</x:f>
      </x:c>
      <x:c r="AD29" s="53" t="str">
        <x:f>IF(AND(AD$6&gt;=$D29,AD$6&lt;=$E29),1,"")</x:f>
      </x:c>
      <x:c r="AE29" s="53" t="str">
        <x:f>IF(AND(AE$6&gt;=$D29,AE$6&lt;=$E29),1,"")</x:f>
      </x:c>
      <x:c r="AF29" s="53" t="str">
        <x:f>IF(AND(AF$6&gt;=$D29,AF$6&lt;=$E29),1,"")</x:f>
      </x:c>
      <x:c r="AG29" s="53" t="str">
        <x:f>IF(AND(AG$6&gt;=$D29,AG$6&lt;=$E29),1,"")</x:f>
      </x:c>
      <x:c r="AH29" s="53" t="str">
        <x:f>IF(AND(AH$6&gt;=$D29,AH$6&lt;=$E29),1,"")</x:f>
      </x:c>
    </x:row>
    <x:row r="30">
      <x:c r="A30" s="41" t="str">
        <x:v>Stage 7</x:v>
      </x:c>
      <x:c r="B30" s="41" t="str">
        <x:v>Final demo video plan</x:v>
      </x:c>
      <x:c r="C30" s="41" t="str">
        <x:v>Storyboard a 60-90 second demo video</x:v>
      </x:c>
      <x:c r="D30" s="42" t="n">
        <x:v>46370</x:v>
      </x:c>
      <x:c r="E30" s="42" t="n">
        <x:v>46376</x:v>
      </x:c>
      <x:c r="F30" s="43" t="n">
        <x:v>1</x:v>
      </x:c>
      <x:c r="G30" s="41" t="str">
        <x:v>Not Started</x:v>
      </x:c>
      <x:c r="H30" s="41" t="str">
        <x:v>Screen recording is enough.</x:v>
      </x:c>
      <x:c r="I30" s="53" t="str">
        <x:f>IF(AND(I$6&gt;=$D30,I$6&lt;=$E30),1,"")</x:f>
      </x:c>
      <x:c r="J30" s="53" t="str">
        <x:f>IF(AND(J$6&gt;=$D30,J$6&lt;=$E30),1,"")</x:f>
      </x:c>
      <x:c r="K30" s="53" t="str">
        <x:f>IF(AND(K$6&gt;=$D30,K$6&lt;=$E30),1,"")</x:f>
      </x:c>
      <x:c r="L30" s="53" t="str">
        <x:f>IF(AND(L$6&gt;=$D30,L$6&lt;=$E30),1,"")</x:f>
      </x:c>
      <x:c r="M30" s="53" t="str">
        <x:f>IF(AND(M$6&gt;=$D30,M$6&lt;=$E30),1,"")</x:f>
      </x:c>
      <x:c r="N30" s="53" t="str">
        <x:f>IF(AND(N$6&gt;=$D30,N$6&lt;=$E30),1,"")</x:f>
      </x:c>
      <x:c r="O30" s="53" t="str">
        <x:f>IF(AND(O$6&gt;=$D30,O$6&lt;=$E30),1,"")</x:f>
      </x:c>
      <x:c r="P30" s="53" t="str">
        <x:f>IF(AND(P$6&gt;=$D30,P$6&lt;=$E30),1,"")</x:f>
      </x:c>
      <x:c r="Q30" s="53" t="str">
        <x:f>IF(AND(Q$6&gt;=$D30,Q$6&lt;=$E30),1,"")</x:f>
      </x:c>
      <x:c r="R30" s="53" t="str">
        <x:f>IF(AND(R$6&gt;=$D30,R$6&lt;=$E30),1,"")</x:f>
      </x:c>
      <x:c r="S30" s="53" t="str">
        <x:f>IF(AND(S$6&gt;=$D30,S$6&lt;=$E30),1,"")</x:f>
      </x:c>
      <x:c r="T30" s="53" t="str">
        <x:f>IF(AND(T$6&gt;=$D30,T$6&lt;=$E30),1,"")</x:f>
      </x:c>
      <x:c r="U30" s="53" t="str">
        <x:f>IF(AND(U$6&gt;=$D30,U$6&lt;=$E30),1,"")</x:f>
      </x:c>
      <x:c r="V30" s="53" t="str">
        <x:f>IF(AND(V$6&gt;=$D30,V$6&lt;=$E30),1,"")</x:f>
      </x:c>
      <x:c r="W30" s="53" t="str">
        <x:f>IF(AND(W$6&gt;=$D30,W$6&lt;=$E30),1,"")</x:f>
      </x:c>
      <x:c r="X30" s="53" t="str">
        <x:f>IF(AND(X$6&gt;=$D30,X$6&lt;=$E30),1,"")</x:f>
      </x:c>
      <x:c r="Y30" s="53" t="str">
        <x:f>IF(AND(Y$6&gt;=$D30,Y$6&lt;=$E30),1,"")</x:f>
      </x:c>
      <x:c r="Z30" s="53" t="str">
        <x:f>IF(AND(Z$6&gt;=$D30,Z$6&lt;=$E30),1,"")</x:f>
      </x:c>
      <x:c r="AA30" s="53" t="str">
        <x:f>IF(AND(AA$6&gt;=$D30,AA$6&lt;=$E30),1,"")</x:f>
      </x:c>
      <x:c r="AB30" s="53" t="str">
        <x:f>IF(AND(AB$6&gt;=$D30,AB$6&lt;=$E30),1,"")</x:f>
      </x:c>
      <x:c r="AC30" s="53" t="str">
        <x:f>IF(AND(AC$6&gt;=$D30,AC$6&lt;=$E30),1,"")</x:f>
      </x:c>
      <x:c r="AD30" s="53" t="str">
        <x:f>IF(AND(AD$6&gt;=$D30,AD$6&lt;=$E30),1,"")</x:f>
      </x:c>
      <x:c r="AE30" s="53" t="str">
        <x:f>IF(AND(AE$6&gt;=$D30,AE$6&lt;=$E30),1,"")</x:f>
      </x:c>
      <x:c r="AF30" s="53" t="str">
        <x:f>IF(AND(AF$6&gt;=$D30,AF$6&lt;=$E30),1,"")</x:f>
      </x:c>
      <x:c r="AG30" s="53" t="str">
        <x:f>IF(AND(AG$6&gt;=$D30,AG$6&lt;=$E30),1,"")</x:f>
      </x:c>
      <x:c r="AH30" s="53" t="str">
        <x:f>IF(AND(AH$6&gt;=$D30,AH$6&lt;=$E30),1,"")</x:f>
      </x:c>
    </x:row>
    <x:row r="31">
      <x:c r="A31" s="41" t="str">
        <x:v>Stage 7</x:v>
      </x:c>
      <x:c r="B31" s="41" t="str">
        <x:v>Record final demo</x:v>
      </x:c>
      <x:c r="C31" s="41" t="str">
        <x:v>Record or capture the working demo and screenshots</x:v>
      </x:c>
      <x:c r="D31" s="42" t="n">
        <x:v>46377</x:v>
      </x:c>
      <x:c r="E31" s="42" t="n">
        <x:v>46383</x:v>
      </x:c>
      <x:c r="F31" s="43" t="n">
        <x:v>1</x:v>
      </x:c>
      <x:c r="G31" s="41" t="str">
        <x:v>Not Started</x:v>
      </x:c>
      <x:c r="H31" s="41" t="str">
        <x:v>Do not overproduce.</x:v>
      </x:c>
      <x:c r="I31" s="53" t="str">
        <x:f>IF(AND(I$6&gt;=$D31,I$6&lt;=$E31),1,"")</x:f>
      </x:c>
      <x:c r="J31" s="53" t="str">
        <x:f>IF(AND(J$6&gt;=$D31,J$6&lt;=$E31),1,"")</x:f>
      </x:c>
      <x:c r="K31" s="53" t="str">
        <x:f>IF(AND(K$6&gt;=$D31,K$6&lt;=$E31),1,"")</x:f>
      </x:c>
      <x:c r="L31" s="53" t="str">
        <x:f>IF(AND(L$6&gt;=$D31,L$6&lt;=$E31),1,"")</x:f>
      </x:c>
      <x:c r="M31" s="53" t="str">
        <x:f>IF(AND(M$6&gt;=$D31,M$6&lt;=$E31),1,"")</x:f>
      </x:c>
      <x:c r="N31" s="53" t="str">
        <x:f>IF(AND(N$6&gt;=$D31,N$6&lt;=$E31),1,"")</x:f>
      </x:c>
      <x:c r="O31" s="53" t="str">
        <x:f>IF(AND(O$6&gt;=$D31,O$6&lt;=$E31),1,"")</x:f>
      </x:c>
      <x:c r="P31" s="53" t="str">
        <x:f>IF(AND(P$6&gt;=$D31,P$6&lt;=$E31),1,"")</x:f>
      </x:c>
      <x:c r="Q31" s="53" t="str">
        <x:f>IF(AND(Q$6&gt;=$D31,Q$6&lt;=$E31),1,"")</x:f>
      </x:c>
      <x:c r="R31" s="53" t="str">
        <x:f>IF(AND(R$6&gt;=$D31,R$6&lt;=$E31),1,"")</x:f>
      </x:c>
      <x:c r="S31" s="53" t="str">
        <x:f>IF(AND(S$6&gt;=$D31,S$6&lt;=$E31),1,"")</x:f>
      </x:c>
      <x:c r="T31" s="53" t="str">
        <x:f>IF(AND(T$6&gt;=$D31,T$6&lt;=$E31),1,"")</x:f>
      </x:c>
      <x:c r="U31" s="53" t="str">
        <x:f>IF(AND(U$6&gt;=$D31,U$6&lt;=$E31),1,"")</x:f>
      </x:c>
      <x:c r="V31" s="53" t="str">
        <x:f>IF(AND(V$6&gt;=$D31,V$6&lt;=$E31),1,"")</x:f>
      </x:c>
      <x:c r="W31" s="53" t="str">
        <x:f>IF(AND(W$6&gt;=$D31,W$6&lt;=$E31),1,"")</x:f>
      </x:c>
      <x:c r="X31" s="53" t="str">
        <x:f>IF(AND(X$6&gt;=$D31,X$6&lt;=$E31),1,"")</x:f>
      </x:c>
      <x:c r="Y31" s="53" t="str">
        <x:f>IF(AND(Y$6&gt;=$D31,Y$6&lt;=$E31),1,"")</x:f>
      </x:c>
      <x:c r="Z31" s="53" t="str">
        <x:f>IF(AND(Z$6&gt;=$D31,Z$6&lt;=$E31),1,"")</x:f>
      </x:c>
      <x:c r="AA31" s="53" t="str">
        <x:f>IF(AND(AA$6&gt;=$D31,AA$6&lt;=$E31),1,"")</x:f>
      </x:c>
      <x:c r="AB31" s="53" t="str">
        <x:f>IF(AND(AB$6&gt;=$D31,AB$6&lt;=$E31),1,"")</x:f>
      </x:c>
      <x:c r="AC31" s="53" t="str">
        <x:f>IF(AND(AC$6&gt;=$D31,AC$6&lt;=$E31),1,"")</x:f>
      </x:c>
      <x:c r="AD31" s="53" t="str">
        <x:f>IF(AND(AD$6&gt;=$D31,AD$6&lt;=$E31),1,"")</x:f>
      </x:c>
      <x:c r="AE31" s="53" t="str">
        <x:f>IF(AND(AE$6&gt;=$D31,AE$6&lt;=$E31),1,"")</x:f>
      </x:c>
      <x:c r="AF31" s="53" t="str">
        <x:f>IF(AND(AF$6&gt;=$D31,AF$6&lt;=$E31),1,"")</x:f>
      </x:c>
      <x:c r="AG31" s="53" t="str">
        <x:f>IF(AND(AG$6&gt;=$D31,AG$6&lt;=$E31),1,"")</x:f>
      </x:c>
      <x:c r="AH31" s="53" t="str">
        <x:f>IF(AND(AH$6&gt;=$D31,AH$6&lt;=$E31),1,"")</x:f>
      </x:c>
    </x:row>
    <x:row r="32">
      <x:c r="A32" s="41" t="str">
        <x:v>Stage 7</x:v>
      </x:c>
      <x:c r="B32" s="41" t="str">
        <x:v>Retrospective and next steps</x:v>
      </x:c>
      <x:c r="C32" s="41" t="str">
        <x:v>Document lessons learned and next 3 possible improvements</x:v>
      </x:c>
      <x:c r="D32" s="42" t="n">
        <x:v>46384</x:v>
      </x:c>
      <x:c r="E32" s="42" t="n">
        <x:v>46390</x:v>
      </x:c>
      <x:c r="F32" s="43" t="n">
        <x:v>1</x:v>
      </x:c>
      <x:c r="G32" s="41" t="str">
        <x:v>Not Started</x:v>
      </x:c>
      <x:c r="H32" s="41" t="str">
        <x:v>Close the loop clearly.</x:v>
      </x:c>
      <x:c r="I32" s="53" t="str">
        <x:f>IF(AND(I$6&gt;=$D32,I$6&lt;=$E32),1,"")</x:f>
      </x:c>
      <x:c r="J32" s="53" t="str">
        <x:f>IF(AND(J$6&gt;=$D32,J$6&lt;=$E32),1,"")</x:f>
      </x:c>
      <x:c r="K32" s="53" t="str">
        <x:f>IF(AND(K$6&gt;=$D32,K$6&lt;=$E32),1,"")</x:f>
      </x:c>
      <x:c r="L32" s="53" t="str">
        <x:f>IF(AND(L$6&gt;=$D32,L$6&lt;=$E32),1,"")</x:f>
      </x:c>
      <x:c r="M32" s="53" t="str">
        <x:f>IF(AND(M$6&gt;=$D32,M$6&lt;=$E32),1,"")</x:f>
      </x:c>
      <x:c r="N32" s="53" t="str">
        <x:f>IF(AND(N$6&gt;=$D32,N$6&lt;=$E32),1,"")</x:f>
      </x:c>
      <x:c r="O32" s="53" t="str">
        <x:f>IF(AND(O$6&gt;=$D32,O$6&lt;=$E32),1,"")</x:f>
      </x:c>
      <x:c r="P32" s="53" t="str">
        <x:f>IF(AND(P$6&gt;=$D32,P$6&lt;=$E32),1,"")</x:f>
      </x:c>
      <x:c r="Q32" s="53" t="str">
        <x:f>IF(AND(Q$6&gt;=$D32,Q$6&lt;=$E32),1,"")</x:f>
      </x:c>
      <x:c r="R32" s="53" t="str">
        <x:f>IF(AND(R$6&gt;=$D32,R$6&lt;=$E32),1,"")</x:f>
      </x:c>
      <x:c r="S32" s="53" t="str">
        <x:f>IF(AND(S$6&gt;=$D32,S$6&lt;=$E32),1,"")</x:f>
      </x:c>
      <x:c r="T32" s="53" t="str">
        <x:f>IF(AND(T$6&gt;=$D32,T$6&lt;=$E32),1,"")</x:f>
      </x:c>
      <x:c r="U32" s="53" t="str">
        <x:f>IF(AND(U$6&gt;=$D32,U$6&lt;=$E32),1,"")</x:f>
      </x:c>
      <x:c r="V32" s="53" t="str">
        <x:f>IF(AND(V$6&gt;=$D32,V$6&lt;=$E32),1,"")</x:f>
      </x:c>
      <x:c r="W32" s="53" t="str">
        <x:f>IF(AND(W$6&gt;=$D32,W$6&lt;=$E32),1,"")</x:f>
      </x:c>
      <x:c r="X32" s="53" t="str">
        <x:f>IF(AND(X$6&gt;=$D32,X$6&lt;=$E32),1,"")</x:f>
      </x:c>
      <x:c r="Y32" s="53" t="str">
        <x:f>IF(AND(Y$6&gt;=$D32,Y$6&lt;=$E32),1,"")</x:f>
      </x:c>
      <x:c r="Z32" s="53" t="str">
        <x:f>IF(AND(Z$6&gt;=$D32,Z$6&lt;=$E32),1,"")</x:f>
      </x:c>
      <x:c r="AA32" s="53" t="str">
        <x:f>IF(AND(AA$6&gt;=$D32,AA$6&lt;=$E32),1,"")</x:f>
      </x:c>
      <x:c r="AB32" s="53" t="str">
        <x:f>IF(AND(AB$6&gt;=$D32,AB$6&lt;=$E32),1,"")</x:f>
      </x:c>
      <x:c r="AC32" s="53" t="str">
        <x:f>IF(AND(AC$6&gt;=$D32,AC$6&lt;=$E32),1,"")</x:f>
      </x:c>
      <x:c r="AD32" s="53" t="str">
        <x:f>IF(AND(AD$6&gt;=$D32,AD$6&lt;=$E32),1,"")</x:f>
      </x:c>
      <x:c r="AE32" s="53" t="str">
        <x:f>IF(AND(AE$6&gt;=$D32,AE$6&lt;=$E32),1,"")</x:f>
      </x:c>
      <x:c r="AF32" s="53" t="str">
        <x:f>IF(AND(AF$6&gt;=$D32,AF$6&lt;=$E32),1,"")</x:f>
      </x:c>
      <x:c r="AG32" s="53" t="str">
        <x:f>IF(AND(AG$6&gt;=$D32,AG$6&lt;=$E32),1,"")</x:f>
      </x:c>
      <x:c r="AH32" s="53" t="str">
        <x:f>IF(AND(AH$6&gt;=$D32,AH$6&lt;=$E32),1,"")</x:f>
      </x:c>
    </x:row>
  </x:sheetData>
  <x:mergeCells>
    <x:mergeCell ref="A1:AG1"/>
  </x:mergeCells>
  <x:conditionalFormatting sqref="I7:AH32">
    <x:cfRule type="cellIs" dxfId="0" priority="1">
      <x:formula>1</x:formula>
    </x:cfRule>
  </x:conditionalFormatting>
  <x:conditionalFormatting sqref="G7:G32">
    <x:cfRule type="expression" dxfId="1" priority="2">
      <x:formula>G7="Done"</x:formula>
    </x:cfRule>
    <x:cfRule type="expression" dxfId="2" priority="3">
      <x:formula>G7="In Progress"</x:formula>
    </x:cfRule>
    <x:cfRule type="expression" dxfId="3" priority="4">
      <x:formula>G7="Blocked"</x:formula>
    </x:cfRule>
  </x:conditionalFormatting>
  <x:dataValidations count="1">
    <x:dataValidation type="list" sqref="G7:G32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e0fc7f0c6e4e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5" hidden="0" customWidth="1"/>
    <x:col min="5" max="5" width="14" hidden="0" customWidth="1"/>
    <x:col min="6" max="6" width="28" hidden="0" customWidth="1"/>
    <x:col min="7" max="7" width="38" hidden="0" customWidth="1"/>
    <x:col min="8" max="8" width="14" hidden="0" customWidth="1"/>
  </x:cols>
  <x:sheetData>
    <x:row r="1">
      <x:c r="A1" s="27" t="str">
        <x:v>Week</x:v>
      </x:c>
      <x:c r="B1" s="27" t="str">
        <x:v>Week starting</x:v>
      </x:c>
      <x:c r="C1" s="27" t="str">
        <x:v>Planned task</x:v>
      </x:c>
      <x:c r="D1" s="27" t="str">
        <x:v>Actual work completed</x:v>
      </x:c>
      <x:c r="E1" s="27" t="str">
        <x:v>Time spent (hrs)</x:v>
      </x:c>
      <x:c r="F1" s="27" t="str">
        <x:v>Evidence/link</x:v>
      </x:c>
      <x:c r="G1" s="27" t="str">
        <x:v>Notes</x:v>
      </x:c>
      <x:c r="H1" s="27" t="str">
        <x:v>Status</x:v>
      </x:c>
    </x:row>
    <x:row r="2">
      <x:c r="A2" s="34" t="n">
        <x:v>1</x:v>
      </x:c>
      <x:c r="B2" s="32" t="n">
        <x:v>46209</x:v>
      </x:c>
      <x:c r="C2" s="15" t="str">
        <x:v>Project setup</x:v>
      </x:c>
      <x:c r="D2" s="15" t="str"/>
      <x:c r="E2" s="64" t="n">
        <x:v>1</x:v>
      </x:c>
      <x:c r="F2" s="15" t="str"/>
      <x:c r="G2" s="15" t="str"/>
      <x:c r="H2" s="15" t="str">
        <x:v>Not Started</x:v>
      </x:c>
    </x:row>
    <x:row r="3">
      <x:c r="A3" s="34" t="n">
        <x:v>2</x:v>
      </x:c>
      <x:c r="B3" s="32" t="n">
        <x:v>46216</x:v>
      </x:c>
      <x:c r="C3" s="15" t="str">
        <x:v>Requirements</x:v>
      </x:c>
      <x:c r="D3" s="15" t="str"/>
      <x:c r="E3" s="64" t="n">
        <x:v>1</x:v>
      </x:c>
      <x:c r="F3" s="15" t="str"/>
      <x:c r="G3" s="15" t="str"/>
      <x:c r="H3" s="15" t="str">
        <x:v>Not Started</x:v>
      </x:c>
    </x:row>
    <x:row r="4">
      <x:c r="A4" s="34" t="n">
        <x:v>3</x:v>
      </x:c>
      <x:c r="B4" s="32" t="n">
        <x:v>46223</x:v>
      </x:c>
      <x:c r="C4" s="15" t="str">
        <x:v>Simple robot concept</x:v>
      </x:c>
      <x:c r="D4" s="15" t="str"/>
      <x:c r="E4" s="64" t="n">
        <x:v>1</x:v>
      </x:c>
      <x:c r="F4" s="15" t="str"/>
      <x:c r="G4" s="15" t="str"/>
      <x:c r="H4" s="15" t="str">
        <x:v>Not Started</x:v>
      </x:c>
    </x:row>
    <x:row r="5">
      <x:c r="A5" s="34" t="n">
        <x:v>4</x:v>
      </x:c>
      <x:c r="B5" s="32" t="n">
        <x:v>46230</x:v>
      </x:c>
      <x:c r="C5" s="15" t="str">
        <x:v>Parameter list</x:v>
      </x:c>
      <x:c r="D5" s="15" t="str"/>
      <x:c r="E5" s="64" t="n">
        <x:v>1</x:v>
      </x:c>
      <x:c r="F5" s="15" t="str"/>
      <x:c r="G5" s="15" t="str"/>
      <x:c r="H5" s="15" t="str">
        <x:v>Not Started</x:v>
      </x:c>
    </x:row>
    <x:row r="6">
      <x:c r="A6" s="34" t="n">
        <x:v>5</x:v>
      </x:c>
      <x:c r="B6" s="32" t="n">
        <x:v>46237</x:v>
      </x:c>
      <x:c r="C6" s="15" t="str">
        <x:v>Basic CAD block model</x:v>
      </x:c>
      <x:c r="D6" s="15" t="str"/>
      <x:c r="E6" s="64" t="n">
        <x:v>1</x:v>
      </x:c>
      <x:c r="F6" s="15" t="str"/>
      <x:c r="G6" s="15" t="str"/>
      <x:c r="H6" s="15" t="str">
        <x:v>Not Started</x:v>
      </x:c>
    </x:row>
    <x:row r="7">
      <x:c r="A7" s="34" t="n">
        <x:v>6</x:v>
      </x:c>
      <x:c r="B7" s="32" t="n">
        <x:v>46244</x:v>
      </x:c>
      <x:c r="C7" s="15" t="str">
        <x:v>Parametric update test</x:v>
      </x:c>
      <x:c r="D7" s="15" t="str"/>
      <x:c r="E7" s="64" t="n">
        <x:v>1</x:v>
      </x:c>
      <x:c r="F7" s="15" t="str"/>
      <x:c r="G7" s="15" t="str"/>
      <x:c r="H7" s="15" t="str">
        <x:v>Not Started</x:v>
      </x:c>
    </x:row>
    <x:row r="8">
      <x:c r="A8" s="34" t="n">
        <x:v>7</x:v>
      </x:c>
      <x:c r="B8" s="32" t="n">
        <x:v>46251</x:v>
      </x:c>
      <x:c r="C8" s="15" t="str">
        <x:v>Mass assumptions</x:v>
      </x:c>
      <x:c r="D8" s="15" t="str"/>
      <x:c r="E8" s="64" t="n">
        <x:v>1</x:v>
      </x:c>
      <x:c r="F8" s="15" t="str"/>
      <x:c r="G8" s="15" t="str"/>
      <x:c r="H8" s="15" t="str">
        <x:v>Not Started</x:v>
      </x:c>
    </x:row>
    <x:row r="9">
      <x:c r="A9" s="34" t="n">
        <x:v>8</x:v>
      </x:c>
      <x:c r="B9" s="32" t="n">
        <x:v>46258</x:v>
      </x:c>
      <x:c r="C9" s="15" t="str">
        <x:v>Worst-case torque sheet</x:v>
      </x:c>
      <x:c r="D9" s="15" t="str"/>
      <x:c r="E9" s="64" t="n">
        <x:v>1</x:v>
      </x:c>
      <x:c r="F9" s="15" t="str"/>
      <x:c r="G9" s="15" t="str"/>
      <x:c r="H9" s="15" t="str">
        <x:v>Not Started</x:v>
      </x:c>
    </x:row>
    <x:row r="10">
      <x:c r="A10" s="34" t="n">
        <x:v>9</x:v>
      </x:c>
      <x:c r="B10" s="32" t="n">
        <x:v>46265</x:v>
      </x:c>
      <x:c r="C10" s="15" t="str">
        <x:v>Motor shortlist</x:v>
      </x:c>
      <x:c r="D10" s="15" t="str"/>
      <x:c r="E10" s="64" t="n">
        <x:v>1</x:v>
      </x:c>
      <x:c r="F10" s="15" t="str"/>
      <x:c r="G10" s="15" t="str"/>
      <x:c r="H10" s="15" t="str">
        <x:v>Not Started</x:v>
      </x:c>
    </x:row>
    <x:row r="11">
      <x:c r="A11" s="34" t="n">
        <x:v>10</x:v>
      </x:c>
      <x:c r="B11" s="32" t="n">
        <x:v>46272</x:v>
      </x:c>
      <x:c r="C11" s="15" t="str">
        <x:v>Sizing summary</x:v>
      </x:c>
      <x:c r="D11" s="15" t="str"/>
      <x:c r="E11" s="64" t="n">
        <x:v>1</x:v>
      </x:c>
      <x:c r="F11" s="15" t="str"/>
      <x:c r="G11" s="15" t="str"/>
      <x:c r="H11" s="15" t="str">
        <x:v>Not Started</x:v>
      </x:c>
    </x:row>
    <x:row r="12">
      <x:c r="A12" s="34" t="n">
        <x:v>11</x:v>
      </x:c>
      <x:c r="B12" s="32" t="n">
        <x:v>46279</x:v>
      </x:c>
      <x:c r="C12" s="15" t="str">
        <x:v>URDF skeleton</x:v>
      </x:c>
      <x:c r="D12" s="15" t="str"/>
      <x:c r="E12" s="64" t="n">
        <x:v>1</x:v>
      </x:c>
      <x:c r="F12" s="15" t="str"/>
      <x:c r="G12" s="15" t="str"/>
      <x:c r="H12" s="15" t="str">
        <x:v>Not Started</x:v>
      </x:c>
    </x:row>
    <x:row r="13">
      <x:c r="A13" s="34" t="n">
        <x:v>12</x:v>
      </x:c>
      <x:c r="B13" s="32" t="n">
        <x:v>46286</x:v>
      </x:c>
      <x:c r="C13" s="15" t="str">
        <x:v>ROS 2 package setup</x:v>
      </x:c>
      <x:c r="D13" s="15" t="str"/>
      <x:c r="E13" s="64" t="n">
        <x:v>1</x:v>
      </x:c>
      <x:c r="F13" s="15" t="str"/>
      <x:c r="G13" s="15" t="str"/>
      <x:c r="H13" s="15" t="str">
        <x:v>Not Started</x:v>
      </x:c>
    </x:row>
    <x:row r="14">
      <x:c r="A14" s="34" t="n">
        <x:v>13</x:v>
      </x:c>
      <x:c r="B14" s="32" t="n">
        <x:v>46293</x:v>
      </x:c>
      <x:c r="C14" s="15" t="str">
        <x:v>Spawn in Gazebo</x:v>
      </x:c>
      <x:c r="D14" s="15" t="str"/>
      <x:c r="E14" s="64" t="n">
        <x:v>1</x:v>
      </x:c>
      <x:c r="F14" s="15" t="str"/>
      <x:c r="G14" s="15" t="str"/>
      <x:c r="H14" s="15" t="str">
        <x:v>Not Started</x:v>
      </x:c>
    </x:row>
    <x:row r="15">
      <x:c r="A15" s="34" t="n">
        <x:v>14</x:v>
      </x:c>
      <x:c r="B15" s="32" t="n">
        <x:v>46300</x:v>
      </x:c>
      <x:c r="C15" s="15" t="str">
        <x:v>Joint control test</x:v>
      </x:c>
      <x:c r="D15" s="15" t="str"/>
      <x:c r="E15" s="64" t="n">
        <x:v>1</x:v>
      </x:c>
      <x:c r="F15" s="15" t="str"/>
      <x:c r="G15" s="15" t="str"/>
      <x:c r="H15" s="15" t="str">
        <x:v>Not Started</x:v>
      </x:c>
    </x:row>
    <x:row r="16">
      <x:c r="A16" s="34" t="n">
        <x:v>15</x:v>
      </x:c>
      <x:c r="B16" s="32" t="n">
        <x:v>46307</x:v>
      </x:c>
      <x:c r="C16" s="15" t="str">
        <x:v>Basic movement demo</x:v>
      </x:c>
      <x:c r="D16" s="15" t="str"/>
      <x:c r="E16" s="64" t="n">
        <x:v>1</x:v>
      </x:c>
      <x:c r="F16" s="15" t="str"/>
      <x:c r="G16" s="15" t="str"/>
      <x:c r="H16" s="15" t="str">
        <x:v>Not Started</x:v>
      </x:c>
    </x:row>
    <x:row r="17">
      <x:c r="A17" s="34" t="n">
        <x:v>16</x:v>
      </x:c>
      <x:c r="B17" s="32" t="n">
        <x:v>46314</x:v>
      </x:c>
      <x:c r="C17" s="15" t="str">
        <x:v>Agent command interface</x:v>
      </x:c>
      <x:c r="D17" s="15" t="str"/>
      <x:c r="E17" s="64" t="n">
        <x:v>1</x:v>
      </x:c>
      <x:c r="F17" s="15" t="str"/>
      <x:c r="G17" s="15" t="str"/>
      <x:c r="H17" s="15" t="str">
        <x:v>Not Started</x:v>
      </x:c>
    </x:row>
    <x:row r="18">
      <x:c r="A18" s="34" t="n">
        <x:v>17</x:v>
      </x:c>
      <x:c r="B18" s="32" t="n">
        <x:v>46321</x:v>
      </x:c>
      <x:c r="C18" s="15" t="str">
        <x:v>Python tool wrapper</x:v>
      </x:c>
      <x:c r="D18" s="15" t="str"/>
      <x:c r="E18" s="64" t="n">
        <x:v>1</x:v>
      </x:c>
      <x:c r="F18" s="15" t="str"/>
      <x:c r="G18" s="15" t="str"/>
      <x:c r="H18" s="15" t="str">
        <x:v>Not Started</x:v>
      </x:c>
    </x:row>
    <x:row r="19">
      <x:c r="A19" s="34" t="n">
        <x:v>18</x:v>
      </x:c>
      <x:c r="B19" s="32" t="n">
        <x:v>46328</x:v>
      </x:c>
      <x:c r="C19" s="15" t="str">
        <x:v>AI prompt workflow</x:v>
      </x:c>
      <x:c r="D19" s="15" t="str"/>
      <x:c r="E19" s="64" t="n">
        <x:v>1</x:v>
      </x:c>
      <x:c r="F19" s="15" t="str"/>
      <x:c r="G19" s="15" t="str"/>
      <x:c r="H19" s="15" t="str">
        <x:v>Not Started</x:v>
      </x:c>
    </x:row>
    <x:row r="20">
      <x:c r="A20" s="34" t="n">
        <x:v>19</x:v>
      </x:c>
      <x:c r="B20" s="32" t="n">
        <x:v>46335</x:v>
      </x:c>
      <x:c r="C20" s="15" t="str">
        <x:v>Simulated AI control test</x:v>
      </x:c>
      <x:c r="D20" s="15" t="str"/>
      <x:c r="E20" s="64" t="n">
        <x:v>1</x:v>
      </x:c>
      <x:c r="F20" s="15" t="str"/>
      <x:c r="G20" s="15" t="str"/>
      <x:c r="H20" s="15" t="str">
        <x:v>Not Started</x:v>
      </x:c>
    </x:row>
    <x:row r="21">
      <x:c r="A21" s="34" t="n">
        <x:v>20</x:v>
      </x:c>
      <x:c r="B21" s="32" t="n">
        <x:v>46342</x:v>
      </x:c>
      <x:c r="C21" s="15" t="str">
        <x:v>Future welding workflow map</x:v>
      </x:c>
      <x:c r="D21" s="15" t="str"/>
      <x:c r="E21" s="64" t="n">
        <x:v>1</x:v>
      </x:c>
      <x:c r="F21" s="15" t="str"/>
      <x:c r="G21" s="15" t="str"/>
      <x:c r="H21" s="15" t="str">
        <x:v>Not Started</x:v>
      </x:c>
    </x:row>
    <x:row r="22">
      <x:c r="A22" s="34" t="n">
        <x:v>21</x:v>
      </x:c>
      <x:c r="B22" s="32" t="n">
        <x:v>46349</x:v>
      </x:c>
      <x:c r="C22" s="15" t="str">
        <x:v>Vision placeholder demo</x:v>
      </x:c>
      <x:c r="D22" s="15" t="str"/>
      <x:c r="E22" s="64" t="n">
        <x:v>1</x:v>
      </x:c>
      <x:c r="F22" s="15" t="str"/>
      <x:c r="G22" s="15" t="str"/>
      <x:c r="H22" s="15" t="str">
        <x:v>Not Started</x:v>
      </x:c>
    </x:row>
    <x:row r="23">
      <x:c r="A23" s="34" t="n">
        <x:v>22</x:v>
      </x:c>
      <x:c r="B23" s="32" t="n">
        <x:v>46356</x:v>
      </x:c>
      <x:c r="C23" s="15" t="str">
        <x:v>GitHub cleanup</x:v>
      </x:c>
      <x:c r="D23" s="15" t="str"/>
      <x:c r="E23" s="64" t="n">
        <x:v>1</x:v>
      </x:c>
      <x:c r="F23" s="15" t="str"/>
      <x:c r="G23" s="15" t="str"/>
      <x:c r="H23" s="15" t="str">
        <x:v>Not Started</x:v>
      </x:c>
    </x:row>
    <x:row r="24">
      <x:c r="A24" s="34" t="n">
        <x:v>23</x:v>
      </x:c>
      <x:c r="B24" s="32" t="n">
        <x:v>46363</x:v>
      </x:c>
      <x:c r="C24" s="15" t="str">
        <x:v>Portfolio write-up</x:v>
      </x:c>
      <x:c r="D24" s="15" t="str"/>
      <x:c r="E24" s="64" t="n">
        <x:v>1</x:v>
      </x:c>
      <x:c r="F24" s="15" t="str"/>
      <x:c r="G24" s="15" t="str"/>
      <x:c r="H24" s="15" t="str">
        <x:v>Not Started</x:v>
      </x:c>
    </x:row>
    <x:row r="25">
      <x:c r="A25" s="34" t="n">
        <x:v>24</x:v>
      </x:c>
      <x:c r="B25" s="32" t="n">
        <x:v>46370</x:v>
      </x:c>
      <x:c r="C25" s="15" t="str">
        <x:v>Final demo video plan</x:v>
      </x:c>
      <x:c r="D25" s="15" t="str"/>
      <x:c r="E25" s="64" t="n">
        <x:v>1</x:v>
      </x:c>
      <x:c r="F25" s="15" t="str"/>
      <x:c r="G25" s="15" t="str"/>
      <x:c r="H25" s="15" t="str">
        <x:v>Not Started</x:v>
      </x:c>
    </x:row>
    <x:row r="26">
      <x:c r="A26" s="34" t="n">
        <x:v>25</x:v>
      </x:c>
      <x:c r="B26" s="32" t="n">
        <x:v>46377</x:v>
      </x:c>
      <x:c r="C26" s="15" t="str">
        <x:v>Record final demo</x:v>
      </x:c>
      <x:c r="D26" s="15" t="str"/>
      <x:c r="E26" s="64" t="n">
        <x:v>1</x:v>
      </x:c>
      <x:c r="F26" s="15" t="str"/>
      <x:c r="G26" s="15" t="str"/>
      <x:c r="H26" s="15" t="str">
        <x:v>Not Started</x:v>
      </x:c>
    </x:row>
    <x:row r="27">
      <x:c r="A27" s="34" t="n">
        <x:v>26</x:v>
      </x:c>
      <x:c r="B27" s="32" t="n">
        <x:v>46384</x:v>
      </x:c>
      <x:c r="C27" s="15" t="str">
        <x:v>Retrospective and next steps</x:v>
      </x:c>
      <x:c r="D27" s="15" t="str"/>
      <x:c r="E27" s="64" t="n">
        <x:v>1</x:v>
      </x:c>
      <x:c r="F27" s="15" t="str"/>
      <x:c r="G27" s="15" t="str"/>
      <x:c r="H27" s="15" t="str">
        <x:v>Not Started</x:v>
      </x:c>
    </x:row>
  </x:sheetData>
  <x:conditionalFormatting sqref="H2:H27">
    <x:cfRule type="expression" dxfId="4" priority="1">
      <x:formula>H2="Done"</x:formula>
    </x:cfRule>
    <x:cfRule type="expression" dxfId="5" priority="2">
      <x:formula>H2="In Progress"</x:formula>
    </x:cfRule>
    <x:cfRule type="expression" dxfId="6" priority="3">
      <x:formula>H2="Blocked"</x:formula>
    </x:cfRule>
  </x:conditionalFormatting>
  <x:dataValidations count="1">
    <x:dataValidation type="list" sqref="H2:H27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6d520b1fcf4b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4" t="str">
        <x:v>Robot AI Automation Practice Project</x:v>
      </x:c>
      <x:c r="B1" s="15"/>
    </x:row>
    <x:row r="2">
      <x:c r="A2" s="7" t="str">
        <x:v>Start date</x:v>
      </x:c>
      <x:c r="B2" s="18" t="n">
        <x:v>46209</x:v>
      </x:c>
    </x:row>
    <x:row r="3">
      <x:c r="A3" s="7" t="str">
        <x:v>Weekly time budget</x:v>
      </x:c>
      <x:c r="B3" t="str">
        <x:v>1 hour per week</x:v>
      </x:c>
    </x:row>
    <x:row r="4">
      <x:c r="A4" s="7" t="str">
        <x:v>Total planned duration</x:v>
      </x:c>
      <x:c r="B4" t="str">
        <x:v>26 weeks</x:v>
      </x:c>
    </x:row>
    <x:row r="5">
      <x:c r="A5" s="7" t="str">
        <x:v>Total planned effort</x:v>
      </x:c>
      <x:c r="B5" t="str">
        <x:v>26 hours</x:v>
      </x:c>
    </x:row>
    <x:row r="6">
      <x:c r="A6" t="str"/>
      <x:c r="B6"/>
    </x:row>
    <x:row r="7">
      <x:c r="A7" s="7" t="str">
        <x:v>Project intent</x:v>
      </x:c>
      <x:c r="B7"/>
    </x:row>
    <x:row r="8">
      <x:c r="A8" t="str">
        <x:v>Create a simple, evidence-based robotics workflow that keeps CAD, sizing, ROS 2/Gazebo, Python, and AI-agent skills active without becoming a large build.</x:v>
      </x:c>
      <x:c r="B8"/>
    </x:row>
    <x:row r="9">
      <x:c r="A9" t="str"/>
      <x:c r="B9"/>
    </x:row>
    <x:row r="10">
      <x:c r="A10" s="7" t="str">
        <x:v>Recommended simplified design</x:v>
      </x:c>
      <x:c r="B10"/>
    </x:row>
    <x:row r="11">
      <x:c r="A11" t="str">
        <x:v>Use a 2-link planar arm or small 3-axis gantry. Use block geometry, simple torque calculations, and simulated movement only.</x:v>
      </x:c>
      <x:c r="B11"/>
    </x:row>
    <x:row r="12">
      <x:c r="A12" t="str"/>
      <x:c r="B12"/>
    </x:row>
    <x:row r="13">
      <x:c r="A13" s="7" t="str">
        <x:v>Success criteria</x:v>
      </x:c>
      <x:c r="B13"/>
    </x:row>
    <x:row r="14">
      <x:c r="A14" t="str">
        <x:v>1. A small parameter-driven CAD concept exists.</x:v>
      </x:c>
      <x:c r="B14"/>
    </x:row>
    <x:row r="15">
      <x:c r="A15" t="str">
        <x:v>2. A rough motor/torque sizing sheet exists.</x:v>
      </x:c>
      <x:c r="B15"/>
    </x:row>
    <x:row r="16">
      <x:c r="A16" t="str">
        <x:v>3. A basic URDF/Gazebo model can spawn and move.</x:v>
      </x:c>
      <x:c r="B16"/>
    </x:row>
    <x:row r="17">
      <x:c r="A17" t="str">
        <x:v>4. A safe Python command interface exists for AI-agent style control.</x:v>
      </x:c>
      <x:c r="B17"/>
    </x:row>
    <x:row r="18">
      <x:c r="A18" t="str">
        <x:v>5. A short portfolio write-up and demo evidence exist.</x:v>
      </x:c>
      <x:c r="B18"/>
    </x:row>
    <x:row r="19">
      <x:c r="A19" t="str"/>
      <x:c r="B19"/>
    </x:row>
    <x:row r="20">
      <x:c r="A20" s="11" t="str">
        <x:v>Keep out of scope</x:v>
      </x:c>
      <x:c r="B20"/>
    </x:row>
    <x:row r="21">
      <x:c r="A21" t="str">
        <x:v>Detailed manufacturing drawings, advanced dynamics, real welding automation, live hardware control, expensive purchased parts, and full autonomous welding.</x:v>
      </x:c>
      <x:c r="B21"/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70" hidden="0" customWidth="1"/>
  </x:cols>
  <x:sheetData>
    <x:row r="1">
      <x:c r="A1" s="66" t="str">
        <x:v>Project summary</x:v>
      </x:c>
      <x:c r="B1" s="15"/>
      <x:c r="C1" s="15"/>
    </x:row>
    <x:row r="3">
      <x:c r="A3" s="24" t="str">
        <x:v>Stage</x:v>
      </x:c>
      <x:c r="B3" s="24" t="str">
        <x:v>Planned hours</x:v>
      </x:c>
      <x:c r="C3" s="24" t="str">
        <x:v>Purpose</x:v>
      </x:c>
    </x:row>
    <x:row r="4">
      <x:c r="A4" t="str">
        <x:v>Stage 0</x:v>
      </x:c>
      <x:c r="B4" t="n">
        <x:v>1</x:v>
      </x:c>
      <x:c r="C4" t="str">
        <x:v>Set up a clean project structure.</x:v>
      </x:c>
    </x:row>
    <x:row r="5">
      <x:c r="A5" t="str">
        <x:v>Stage 1</x:v>
      </x:c>
      <x:c r="B5" t="n">
        <x:v>3</x:v>
      </x:c>
      <x:c r="C5" t="str">
        <x:v>Define a tiny robot concept and parameters.</x:v>
      </x:c>
    </x:row>
    <x:row r="6">
      <x:c r="A6" t="str">
        <x:v>Stage 2</x:v>
      </x:c>
      <x:c r="B6" t="n">
        <x:v>3</x:v>
      </x:c>
      <x:c r="C6" t="str">
        <x:v>Create a basic parametric CAD concept.</x:v>
      </x:c>
    </x:row>
    <x:row r="7">
      <x:c r="A7" t="str">
        <x:v>Stage 3</x:v>
      </x:c>
      <x:c r="B7" t="n">
        <x:v>3</x:v>
      </x:c>
      <x:c r="C7" t="str">
        <x:v>Complete simple static torque sizing.</x:v>
      </x:c>
    </x:row>
    <x:row r="8">
      <x:c r="A8" t="str">
        <x:v>Stage 4</x:v>
      </x:c>
      <x:c r="B8" t="n">
        <x:v>5</x:v>
      </x:c>
      <x:c r="C8" t="str">
        <x:v>Build and move a ROS 2/Gazebo model.</x:v>
      </x:c>
    </x:row>
    <x:row r="9">
      <x:c r="A9" t="str">
        <x:v>Stage 5</x:v>
      </x:c>
      <x:c r="B9" t="n">
        <x:v>4</x:v>
      </x:c>
      <x:c r="C9" t="str">
        <x:v>Create a safe AI-agent control interface.</x:v>
      </x:c>
    </x:row>
    <x:row r="10">
      <x:c r="A10" t="str">
        <x:v>Stage 6</x:v>
      </x:c>
      <x:c r="B10" t="n">
        <x:v>2</x:v>
      </x:c>
      <x:c r="C10" t="str">
        <x:v>Map future vision/welding automation only at concept level.</x:v>
      </x:c>
    </x:row>
    <x:row r="11">
      <x:c r="A11" t="str">
        <x:v>Stage 7</x:v>
      </x:c>
      <x:c r="B11" t="n">
        <x:v>5</x:v>
      </x:c>
      <x:c r="C11" t="str">
        <x:v>Package the work as a portfolio deliverable.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61d9454d4b404437"/>
  <x:tableParts count="1">
    <x:tablePart xmlns:r="http://schemas.openxmlformats.org/officeDocument/2006/relationships" r:id="Rbef13eb5452f4a97"/>
  </x:tableParts>
</x:worksheet>
</file>