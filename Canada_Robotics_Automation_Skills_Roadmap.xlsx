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 Roadmap" sheetId="1" state="visible" r:id="rId3"/>
    <sheet name="6 Month Plan" sheetId="2" state="visible" r:id="rId4"/>
    <sheet name="Priority Summar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<sst xmlns="http://schemas.openxmlformats.org/spreadsheetml/2006/main" count="206" uniqueCount="153">
  <si>
    <t xml:space="preserve">Skill / Experience</t>
  </si>
  <si>
    <t xml:space="preserve">Why it matters for Canadian robotics/automation roles</t>
  </si>
  <si>
    <t xml:space="preserve">Simple at-home project (high deliverability)</t>
  </si>
  <si>
    <t xml:space="preserve">Work project to ask for or create</t>
  </si>
  <si>
    <t xml:space="preserve">Portfolio deliverables for GitHub / website</t>
  </si>
  <si>
    <t xml:space="preserve">Priority</t>
  </si>
  <si>
    <t xml:space="preserve">Timeframe</t>
  </si>
  <si>
    <t xml:space="preserve">Status</t>
  </si>
  <si>
    <t xml:space="preserve">Industrial robot programming</t>
  </si>
  <si>
    <t xml:space="preserve">Core of robotics programmer roles; shows you can program, test, and debug real cells.</t>
  </si>
  <si>
    <t xml:space="preserve">Recreate one simple pick/place or weld path in RoboDK, ABB RobotStudio, or ROS2/Gazebo with 5 taught points.</t>
  </si>
  <si>
    <t xml:space="preserve">Document and improve one existing QIROX/Cloos weld routine: point naming, comments, safe moves, recovery steps.</t>
  </si>
  <si>
    <t xml:space="preserve">Short video of simulation; code/program snippets; one-page explanation of frames, path, and results.</t>
  </si>
  <si>
    <t xml:space="preserve">High</t>
  </si>
  <si>
    <t xml:space="preserve">Month 1</t>
  </si>
  <si>
    <t xml:space="preserve">Not started</t>
  </si>
  <si>
    <t xml:space="preserve">Robot coordinate systems and frames</t>
  </si>
  <si>
    <t xml:space="preserve">Required for teaching points, TCPs, user frames, offsets, and accurate robot motion.</t>
  </si>
  <si>
    <t xml:space="preserve">Make a Python calculator that shifts points in X/Y/Z and outputs before/after coordinates.</t>
  </si>
  <si>
    <t xml:space="preserve">Create a small reference guide for torch/workpiece frames used in your current robot programs.</t>
  </si>
  <si>
    <t xml:space="preserve">GitHub repo with calculator; diagrams; article: 'How robot offsets work in welding paths'.</t>
  </si>
  <si>
    <t xml:space="preserve">Robot troubleshooting</t>
  </si>
  <si>
    <t xml:space="preserve">Employers value engineers who can diagnose real robot issues, not just write code.</t>
  </si>
  <si>
    <t xml:space="preserve">Write a fault diagnosis flowchart for a simulated robot that will not start, arc, or move.</t>
  </si>
  <si>
    <t xml:space="preserve">Build a troubleshooting checklist from common robot cell faults at work.</t>
  </si>
  <si>
    <t xml:space="preserve">PDF checklist; fault tree; case study with symptoms, checks, root cause, and fix.</t>
  </si>
  <si>
    <t xml:space="preserve">Month 1-2</t>
  </si>
  <si>
    <t xml:space="preserve">Technical documentation</t>
  </si>
  <si>
    <t xml:space="preserve">The job asks for manuals, training material, and clear communication.</t>
  </si>
  <si>
    <t xml:space="preserve">Create a user manual for one home project, even if it is simple.</t>
  </si>
  <si>
    <t xml:space="preserve">Rewrite one work instruction or robot setup procedure into a clean step-by-step format.</t>
  </si>
  <si>
    <t xml:space="preserve">Example user manual; commissioning checklist; screenshots; diagrams.</t>
  </si>
  <si>
    <t xml:space="preserve">Month 1-6</t>
  </si>
  <si>
    <t xml:space="preserve">C++ programming</t>
  </si>
  <si>
    <t xml:space="preserve">Listed as a required skill and useful for robot SDKs, tools, and real-time control.</t>
  </si>
  <si>
    <t xml:space="preserve">Build a small C++ console tool that reads robot points from CSV and calculates distance and cycle-time estimate.</t>
  </si>
  <si>
    <t xml:space="preserve">Use C++ or Python to automate a small engineering task, then document the result.</t>
  </si>
  <si>
    <t xml:space="preserve">GitHub repo with clean README, sample input/output, build instructions, screenshots.</t>
  </si>
  <si>
    <t xml:space="preserve">Month 2</t>
  </si>
  <si>
    <t xml:space="preserve">PLC and robot handshaking</t>
  </si>
  <si>
    <t xml:space="preserve">Industrial robots usually run through PLC I/O, safety signals, and state logic.</t>
  </si>
  <si>
    <t xml:space="preserve">Use Node-RED, OpenPLC, or a simple Python script to simulate Start, Busy, Complete, Fault, Reset signals.</t>
  </si>
  <si>
    <t xml:space="preserve">Map the I/O signals between a robot and external devices at work, where allowed.</t>
  </si>
  <si>
    <t xml:space="preserve">I/O table; state machine diagram; short video of simulated handshake.</t>
  </si>
  <si>
    <t xml:space="preserve">Month 2-3</t>
  </si>
  <si>
    <t xml:space="preserve">Machine vision basics</t>
  </si>
  <si>
    <t xml:space="preserve">Preferred skill; useful for cameras, seam finding, inspection, and robot guidance.</t>
  </si>
  <si>
    <t xml:space="preserve">Use OpenCV and a webcam to detect a line, edge, or ArUco marker and output X/Y offset.</t>
  </si>
  <si>
    <t xml:space="preserve">Identify where cameras or sensors could improve weld setup, inspection, or part alignment.</t>
  </si>
  <si>
    <t xml:space="preserve">GitHub repo; demo video; calibration notes; sample images; results table.</t>
  </si>
  <si>
    <t xml:space="preserve">Month 3</t>
  </si>
  <si>
    <t xml:space="preserve">Robot-vision integration</t>
  </si>
  <si>
    <t xml:space="preserve">Shows you can connect perception to robot motion, a strong mechatronics skill.</t>
  </si>
  <si>
    <t xml:space="preserve">Combine OpenCV output with your point-offset calculator: camera detects offset, program outputs corrected robot point.</t>
  </si>
  <si>
    <t xml:space="preserve">Propose a simple vision-guided offset workflow for a welding cell, even if not deployed.</t>
  </si>
  <si>
    <t xml:space="preserve">Architecture diagram; data flow diagram; before/after coordinates; demo video.</t>
  </si>
  <si>
    <t xml:space="preserve">Month 3-4</t>
  </si>
  <si>
    <t xml:space="preserve">ROS2 fundamentals</t>
  </si>
  <si>
    <t xml:space="preserve">Useful for modern robotics and autonomy roles, even if industrial robots use vendor controllers.</t>
  </si>
  <si>
    <t xml:space="preserve">Create a ROS2 package that publishes a target point and visualises a robot/tool marker in RViz.</t>
  </si>
  <si>
    <t xml:space="preserve">Relate ROS2 concepts to work: nodes as devices, topics as signals, services as commands.</t>
  </si>
  <si>
    <t xml:space="preserve">GitHub repo with launch file, screenshots, README, and short explanation.</t>
  </si>
  <si>
    <t xml:space="preserve">Medium</t>
  </si>
  <si>
    <t xml:space="preserve">Month 4</t>
  </si>
  <si>
    <t xml:space="preserve">Motion planning concepts</t>
  </si>
  <si>
    <t xml:space="preserve">Needed for path planning, trajectory optimisation, and collision-aware robotics.</t>
  </si>
  <si>
    <t xml:space="preserve">Use MoveIt2 or RoboDK to plan between a few points while avoiding one obstacle.</t>
  </si>
  <si>
    <t xml:space="preserve">Do a simple reach or collision review for a workpiece or fixture, if possible.</t>
  </si>
  <si>
    <t xml:space="preserve">Screenshots/video; explanation of obstacle, path, limitations, and next steps.</t>
  </si>
  <si>
    <t xml:space="preserve">Robotic welding process knowledge</t>
  </si>
  <si>
    <t xml:space="preserve">This is your strongest differentiator versus general robotics applicants.</t>
  </si>
  <si>
    <t xml:space="preserve">Create a short technical note explaining FCAW/GMAW variables, travel speed, heat input, and multipass logic.</t>
  </si>
  <si>
    <t xml:space="preserve">Keep improving WPS-related robot programs and document assumptions/test results.</t>
  </si>
  <si>
    <t xml:space="preserve">Technical article; weld parameter table; robot program excerpts; test photos where allowed.</t>
  </si>
  <si>
    <t xml:space="preserve">Offline robot simulation</t>
  </si>
  <si>
    <t xml:space="preserve">The role mentions robotic CAD/simulation such as MotoSim.</t>
  </si>
  <si>
    <t xml:space="preserve">Use RoboDK or RobotStudio to create a simple cell: robot, table, workpiece, tool, and path.</t>
  </si>
  <si>
    <t xml:space="preserve">Ask to support reach analysis or cell layout discussions at work.</t>
  </si>
  <si>
    <t xml:space="preserve">Simulation file; cell layout screenshots; reach envelope notes; limitations.</t>
  </si>
  <si>
    <t xml:space="preserve">Yaskawa INFORM awareness</t>
  </si>
  <si>
    <t xml:space="preserve">The exact role asks for INFORM; you need enough literacy to bridge from QIROX/Cloos.</t>
  </si>
  <si>
    <t xml:space="preserve">Study public Yaskawa INFORM examples and write a comparison table: QIROX/Cloos concept vs Yaskawa concept.</t>
  </si>
  <si>
    <t xml:space="preserve">Map one existing robot routine into vendor-neutral pseudocode.</t>
  </si>
  <si>
    <t xml:space="preserve">Cheat sheet; translated pseudocode; notes on jobs, variables, I/O, frames, motion commands.</t>
  </si>
  <si>
    <t xml:space="preserve">MotoPlus / robot SDK awareness</t>
  </si>
  <si>
    <t xml:space="preserve">Shows readiness for robot SDK work even before access to real Yaskawa hardware.</t>
  </si>
  <si>
    <t xml:space="preserve">Write a simple C++ program that simulates a robot control loop with position, state, and fault handling.</t>
  </si>
  <si>
    <t xml:space="preserve">Discuss with controls/software staff how robot controllers interface with PCs or external systems.</t>
  </si>
  <si>
    <t xml:space="preserve">C++ control-loop repo; flowchart; README explaining how it relates to MotoPlus-style work.</t>
  </si>
  <si>
    <t xml:space="preserve">Month 5</t>
  </si>
  <si>
    <t xml:space="preserve">Industrial networking</t>
  </si>
  <si>
    <t xml:space="preserve">Robots, PLCs, PCs, cameras, and HMIs communicate through industrial networks.</t>
  </si>
  <si>
    <t xml:space="preserve">Set up Modbus TCP between two software tools or Python scripts on your PC.</t>
  </si>
  <si>
    <t xml:space="preserve">Create a basic network map of a robotic cell, only using non-sensitive information.</t>
  </si>
  <si>
    <t xml:space="preserve">Network diagram; signal list; test log; explanation of Modbus/EtherNet/IP/Profinet basics.</t>
  </si>
  <si>
    <t xml:space="preserve">Month 4-5</t>
  </si>
  <si>
    <t xml:space="preserve">Safety and commissioning</t>
  </si>
  <si>
    <t xml:space="preserve">Industrial employers care about safe startup, testing, E-stops, guarding, and repeatable checks.</t>
  </si>
  <si>
    <t xml:space="preserve">Make a commissioning checklist for your simulated robot cell.</t>
  </si>
  <si>
    <t xml:space="preserve">Ask to observe or support safe testing, pre-start checks, and commissioning activities.</t>
  </si>
  <si>
    <t xml:space="preserve">Commissioning checklist; risk checklist; test records; lessons learned.</t>
  </si>
  <si>
    <t xml:space="preserve">Month 5-6</t>
  </si>
  <si>
    <t xml:space="preserve">CAD and cell layout</t>
  </si>
  <si>
    <t xml:space="preserve">Useful for reach analysis, fixture design, and robotic cell planning.</t>
  </si>
  <si>
    <t xml:space="preserve">Model a simple robot cell in Fusion 360/SolidWorks: table, workpiece, robot envelope placeholder.</t>
  </si>
  <si>
    <t xml:space="preserve">Support fixture/workpiece accessibility reviews where possible.</t>
  </si>
  <si>
    <t xml:space="preserve">CAD screenshots; layout drawing; BOM; accessibility notes.</t>
  </si>
  <si>
    <t xml:space="preserve">Month 2-4</t>
  </si>
  <si>
    <t xml:space="preserve">Data logging and dashboards</t>
  </si>
  <si>
    <t xml:space="preserve">Useful for reliability, cycle time, quality, and customer support.</t>
  </si>
  <si>
    <t xml:space="preserve">Create a spreadsheet or Python dashboard that tracks cycle time, faults, and uptime from sample data.</t>
  </si>
  <si>
    <t xml:space="preserve">Collect non-sensitive robot downtime/cycle observations and summarise trends.</t>
  </si>
  <si>
    <t xml:space="preserve">Dashboard screenshots; CSV sample; chart; improvement recommendations.</t>
  </si>
  <si>
    <t xml:space="preserve">Customer demos and training</t>
  </si>
  <si>
    <t xml:space="preserve">The role includes demos, training, and customer-facing support.</t>
  </si>
  <si>
    <t xml:space="preserve">Record a 3-minute walkthrough explaining one project clearly.</t>
  </si>
  <si>
    <t xml:space="preserve">Offer to help create training notes for operators or tradespeople.</t>
  </si>
  <si>
    <t xml:space="preserve">Demo video; slide deck; training handout; FAQ sheet.</t>
  </si>
  <si>
    <t xml:space="preserve">Month 6</t>
  </si>
  <si>
    <t xml:space="preserve">Professional job readiness</t>
  </si>
  <si>
    <t xml:space="preserve">You need to present your skills clearly for Canadian employers.</t>
  </si>
  <si>
    <t xml:space="preserve">Build a simple website with 3 featured projects and a downloadable resume.</t>
  </si>
  <si>
    <t xml:space="preserve">Ask for permission to describe work projects at a high level without confidential details.</t>
  </si>
  <si>
    <t xml:space="preserve">Portfolio website; tailored resume; project index; LinkedIn project posts.</t>
  </si>
  <si>
    <t xml:space="preserve">6-Month Preparation Plan</t>
  </si>
  <si>
    <t xml:space="preserve">Month</t>
  </si>
  <si>
    <t xml:space="preserve">Focus</t>
  </si>
  <si>
    <t xml:space="preserve">Simple output to finish</t>
  </si>
  <si>
    <t xml:space="preserve">Evidence for employer</t>
  </si>
  <si>
    <t xml:space="preserve">Robot programming, frames, documentation</t>
  </si>
  <si>
    <t xml:space="preserve">One simulated robot path + point offset calculator</t>
  </si>
  <si>
    <t xml:space="preserve">Video, GitHub repo, short article</t>
  </si>
  <si>
    <t xml:space="preserve">C++, offline simulation, Yaskawa awareness</t>
  </si>
  <si>
    <t xml:space="preserve">C++ cycle-time tool + simulation cell</t>
  </si>
  <si>
    <t xml:space="preserve">README, screenshots, comparison notes</t>
  </si>
  <si>
    <t xml:space="preserve">PLC handshaking and machine vision</t>
  </si>
  <si>
    <t xml:space="preserve">Simulated I/O handshake + OpenCV offset demo</t>
  </si>
  <si>
    <t xml:space="preserve">State diagram, demo video, code</t>
  </si>
  <si>
    <t xml:space="preserve">ROS2 and motion planning</t>
  </si>
  <si>
    <t xml:space="preserve">Simple ROS2/RViz package + obstacle path demo</t>
  </si>
  <si>
    <t xml:space="preserve">Launch files, screenshots, explanation</t>
  </si>
  <si>
    <t xml:space="preserve">Networking, SDK concepts, data logging</t>
  </si>
  <si>
    <t xml:space="preserve">Modbus demo + robot log dashboard</t>
  </si>
  <si>
    <t xml:space="preserve">Network diagram, dashboard, test log</t>
  </si>
  <si>
    <t xml:space="preserve">Commissioning and portfolio polish</t>
  </si>
  <si>
    <t xml:space="preserve">Commissioning checklist + portfolio website</t>
  </si>
  <si>
    <t xml:space="preserve">Website, resume links, project pages</t>
  </si>
  <si>
    <t xml:space="preserve">Top portfolio project</t>
  </si>
  <si>
    <t xml:space="preserve">Vision-guided robotic welding cell-lite</t>
  </si>
  <si>
    <t xml:space="preserve">Camera detects offset; script corrects robot points; simple simulation shows corrected path</t>
  </si>
  <si>
    <t xml:space="preserve">GitHub + website page + 2-minute demo video</t>
  </si>
  <si>
    <t xml:space="preserve">Count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</si>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</sst>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0F766E"/>
        <bgColor rgb="FF15608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Skill Priority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'Priority Summary'!$A$2:$A$4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'Priority Summary'!$B$2:$B$4</c:f>
              <c:numCache>
                <c:formatCode>General</c:formatCode>
                <c:ptCount val="3"/>
                <c:pt idx="0">
                  <c:v>13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4837803"/>
        <c:axId val="17382312"/>
      </c:barChart>
      <c:catAx>
        <c:axId val="4483780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7382312"/>
        <c:crosses val="autoZero"/>
        <c:auto val="1"/>
        <c:lblAlgn val="ctr"/>
        <c:lblOffset val="100"/>
        <c:noMultiLvlLbl val="0"/>
      </c:catAx>
      <c:valAx>
        <c:axId val="1738231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48378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9</xdr:col>
      <xdr:colOff>610920</xdr:colOff>
      <xdr:row>15</xdr:row>
      <xdr:rowOff>190080</xdr:rowOff>
    </xdr:to>
    <xdr:graphicFrame>
      <xdr:nvGraphicFramePr>
        <xdr:cNvPr id="1" name="Chart"/>
        <xdr:cNvGraphicFramePr/>
      </xdr:nvGraphicFramePr>
      <xdr:xfrm>
        <a:off x="2867040" y="190440"/>
        <a:ext cx="42800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oritySummaryTable" displayName="PrioritySummaryTable" ref="A1:B4" headerRowCount="1" totalsRowCount="0" totalsRowShown="0">
  <tableColumns count="2">
    <tableColumn id="1" name="Priority"/>
    <tableColumn id="2" name="Count"/>
  </tableColumns>
</table>
</file>

<file path=xl/tables/table2.xml><?xml version="1.0" encoding="utf-8"?>
<table xmlns="http://schemas.openxmlformats.org/spreadsheetml/2006/main" id="2" name="SixMonthPlanTable" displayName="SixMonthPlanTable" ref="A2:D8" headerRowCount="1" totalsRowCount="0" totalsRowShown="0">
  <tableColumns count="4">
    <tableColumn id="1" name="Month"/>
    <tableColumn id="2" name="Focus"/>
    <tableColumn id="3" name="Simple output to finish"/>
    <tableColumn id="4" name="Evidence for employer"/>
  </tableColumns>
</table>
</file>

<file path=xl/tables/table3.xml><?xml version="1.0" encoding="utf-8"?>
<table xmlns="http://schemas.openxmlformats.org/spreadsheetml/2006/main" id="3" name="SkillsRoadmapTable" displayName="SkillsRoadmapTable" ref="A1:H21" headerRowCount="1" totalsRowCount="0" totalsRowShown="0">
  <tableColumns count="8">
    <tableColumn id="1" name="Skill / Experience"/>
    <tableColumn id="2" name="Why it matters for Canadian robotics/automation roles"/>
    <tableColumn id="3" name="Simple at-home project (high deliverability)"/>
    <tableColumn id="4" name="Work project to ask for or create"/>
    <tableColumn id="5" name="Portfolio deliverables for GitHub / website"/>
    <tableColumn id="6" name="Priority"/>
    <tableColumn id="7" name="Timeframe"/>
    <tableColumn id="8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9.91"/>
    <col collapsed="false" customWidth="true" hidden="false" outlineLevel="0" max="5" min="2" style="1" width="41.88"/>
    <col collapsed="false" customWidth="false" hidden="false" outlineLevel="0" max="8" min="6" style="2" width="11.53"/>
    <col collapsed="false" customWidth="false" hidden="false" outlineLevel="0" max="16384" min="9" style="1" width="11.53"/>
  </cols>
  <sheetData>
    <row r="1" customFormat="false" ht="28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41.75" hidden="false" customHeight="fals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6" t="s">
        <v>14</v>
      </c>
      <c r="H2" s="6" t="s">
        <v>15</v>
      </c>
    </row>
    <row r="3" customFormat="false" ht="41.7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6" t="s">
        <v>13</v>
      </c>
      <c r="G3" s="6" t="s">
        <v>14</v>
      </c>
      <c r="H3" s="6" t="s">
        <v>15</v>
      </c>
    </row>
    <row r="4" customFormat="false" ht="41.75" hidden="false" customHeight="fals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6" t="s">
        <v>13</v>
      </c>
      <c r="G4" s="6" t="s">
        <v>26</v>
      </c>
      <c r="H4" s="6" t="s">
        <v>15</v>
      </c>
    </row>
    <row r="5" customFormat="false" ht="41.75" hidden="false" customHeight="false" outlineLevel="0" collapsed="false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6" t="s">
        <v>13</v>
      </c>
      <c r="G5" s="6" t="s">
        <v>32</v>
      </c>
      <c r="H5" s="6" t="s">
        <v>15</v>
      </c>
    </row>
    <row r="6" customFormat="false" ht="41.75" hidden="false" customHeight="false" outlineLevel="0" collapsed="false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6" t="s">
        <v>13</v>
      </c>
      <c r="G6" s="6" t="s">
        <v>38</v>
      </c>
      <c r="H6" s="6" t="s">
        <v>15</v>
      </c>
    </row>
    <row r="7" customFormat="false" ht="41.75" hidden="false" customHeight="false" outlineLevel="0" collapsed="false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6" t="s">
        <v>13</v>
      </c>
      <c r="G7" s="6" t="s">
        <v>44</v>
      </c>
      <c r="H7" s="6" t="s">
        <v>15</v>
      </c>
    </row>
    <row r="8" customFormat="false" ht="41.75" hidden="false" customHeight="false" outlineLevel="0" collapsed="false">
      <c r="A8" s="5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6" t="s">
        <v>13</v>
      </c>
      <c r="G8" s="6" t="s">
        <v>50</v>
      </c>
      <c r="H8" s="6" t="s">
        <v>15</v>
      </c>
    </row>
    <row r="9" customFormat="false" ht="41.75" hidden="false" customHeight="false" outlineLevel="0" collapsed="false">
      <c r="A9" s="5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6" t="s">
        <v>13</v>
      </c>
      <c r="G9" s="6" t="s">
        <v>56</v>
      </c>
      <c r="H9" s="6" t="s">
        <v>15</v>
      </c>
    </row>
    <row r="10" customFormat="false" ht="41.75" hidden="false" customHeight="false" outlineLevel="0" collapsed="false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6" t="s">
        <v>62</v>
      </c>
      <c r="G10" s="6" t="s">
        <v>63</v>
      </c>
      <c r="H10" s="6" t="s">
        <v>15</v>
      </c>
    </row>
    <row r="11" customFormat="false" ht="41.75" hidden="false" customHeight="false" outlineLevel="0" collapsed="false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6" t="s">
        <v>62</v>
      </c>
      <c r="G11" s="6" t="s">
        <v>63</v>
      </c>
      <c r="H11" s="6" t="s">
        <v>15</v>
      </c>
    </row>
    <row r="12" customFormat="false" ht="41.75" hidden="false" customHeight="false" outlineLevel="0" collapsed="false">
      <c r="A12" s="5" t="s">
        <v>69</v>
      </c>
      <c r="B12" s="5" t="s">
        <v>70</v>
      </c>
      <c r="C12" s="5" t="s">
        <v>71</v>
      </c>
      <c r="D12" s="5" t="s">
        <v>72</v>
      </c>
      <c r="E12" s="5" t="s">
        <v>73</v>
      </c>
      <c r="F12" s="6" t="s">
        <v>13</v>
      </c>
      <c r="G12" s="6" t="s">
        <v>32</v>
      </c>
      <c r="H12" s="6" t="s">
        <v>15</v>
      </c>
    </row>
    <row r="13" customFormat="false" ht="41.75" hidden="false" customHeight="false" outlineLevel="0" collapsed="false">
      <c r="A13" s="5" t="s">
        <v>74</v>
      </c>
      <c r="B13" s="5" t="s">
        <v>75</v>
      </c>
      <c r="C13" s="5" t="s">
        <v>76</v>
      </c>
      <c r="D13" s="5" t="s">
        <v>77</v>
      </c>
      <c r="E13" s="5" t="s">
        <v>78</v>
      </c>
      <c r="F13" s="6" t="s">
        <v>13</v>
      </c>
      <c r="G13" s="6" t="s">
        <v>38</v>
      </c>
      <c r="H13" s="6" t="s">
        <v>15</v>
      </c>
    </row>
    <row r="14" customFormat="false" ht="55.2" hidden="false" customHeight="false" outlineLevel="0" collapsed="false">
      <c r="A14" s="5" t="s">
        <v>79</v>
      </c>
      <c r="B14" s="5" t="s">
        <v>80</v>
      </c>
      <c r="C14" s="5" t="s">
        <v>81</v>
      </c>
      <c r="D14" s="5" t="s">
        <v>82</v>
      </c>
      <c r="E14" s="5" t="s">
        <v>83</v>
      </c>
      <c r="F14" s="6" t="s">
        <v>13</v>
      </c>
      <c r="G14" s="6" t="s">
        <v>26</v>
      </c>
      <c r="H14" s="6" t="s">
        <v>15</v>
      </c>
    </row>
    <row r="15" customFormat="false" ht="41.75" hidden="false" customHeight="false" outlineLevel="0" collapsed="false">
      <c r="A15" s="5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6" t="s">
        <v>62</v>
      </c>
      <c r="G15" s="6" t="s">
        <v>89</v>
      </c>
      <c r="H15" s="6" t="s">
        <v>15</v>
      </c>
    </row>
    <row r="16" customFormat="false" ht="41.75" hidden="false" customHeight="false" outlineLevel="0" collapsed="false">
      <c r="A16" s="5" t="s">
        <v>90</v>
      </c>
      <c r="B16" s="5" t="s">
        <v>91</v>
      </c>
      <c r="C16" s="5" t="s">
        <v>92</v>
      </c>
      <c r="D16" s="5" t="s">
        <v>93</v>
      </c>
      <c r="E16" s="5" t="s">
        <v>94</v>
      </c>
      <c r="F16" s="6" t="s">
        <v>62</v>
      </c>
      <c r="G16" s="6" t="s">
        <v>95</v>
      </c>
      <c r="H16" s="6" t="s">
        <v>15</v>
      </c>
    </row>
    <row r="17" customFormat="false" ht="41.75" hidden="false" customHeight="false" outlineLevel="0" collapsed="false">
      <c r="A17" s="5" t="s">
        <v>96</v>
      </c>
      <c r="B17" s="5" t="s">
        <v>97</v>
      </c>
      <c r="C17" s="5" t="s">
        <v>98</v>
      </c>
      <c r="D17" s="5" t="s">
        <v>99</v>
      </c>
      <c r="E17" s="5" t="s">
        <v>100</v>
      </c>
      <c r="F17" s="6" t="s">
        <v>13</v>
      </c>
      <c r="G17" s="6" t="s">
        <v>101</v>
      </c>
      <c r="H17" s="6" t="s">
        <v>15</v>
      </c>
    </row>
    <row r="18" customFormat="false" ht="41.75" hidden="false" customHeight="false" outlineLevel="0" collapsed="false">
      <c r="A18" s="5" t="s">
        <v>102</v>
      </c>
      <c r="B18" s="5" t="s">
        <v>103</v>
      </c>
      <c r="C18" s="5" t="s">
        <v>104</v>
      </c>
      <c r="D18" s="5" t="s">
        <v>105</v>
      </c>
      <c r="E18" s="5" t="s">
        <v>106</v>
      </c>
      <c r="F18" s="6" t="s">
        <v>62</v>
      </c>
      <c r="G18" s="6" t="s">
        <v>107</v>
      </c>
      <c r="H18" s="6" t="s">
        <v>15</v>
      </c>
    </row>
    <row r="19" customFormat="false" ht="41.75" hidden="false" customHeight="false" outlineLevel="0" collapsed="false">
      <c r="A19" s="5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6" t="s">
        <v>62</v>
      </c>
      <c r="G19" s="6" t="s">
        <v>89</v>
      </c>
      <c r="H19" s="6" t="s">
        <v>15</v>
      </c>
    </row>
    <row r="20" customFormat="false" ht="28.35" hidden="false" customHeight="false" outlineLevel="0" collapsed="false">
      <c r="A20" s="5" t="s">
        <v>113</v>
      </c>
      <c r="B20" s="5" t="s">
        <v>114</v>
      </c>
      <c r="C20" s="5" t="s">
        <v>115</v>
      </c>
      <c r="D20" s="5" t="s">
        <v>116</v>
      </c>
      <c r="E20" s="5" t="s">
        <v>117</v>
      </c>
      <c r="F20" s="6" t="s">
        <v>62</v>
      </c>
      <c r="G20" s="6" t="s">
        <v>118</v>
      </c>
      <c r="H20" s="6" t="s">
        <v>15</v>
      </c>
    </row>
    <row r="21" customFormat="false" ht="41.75" hidden="false" customHeight="false" outlineLevel="0" collapsed="false">
      <c r="A21" s="5" t="s">
        <v>119</v>
      </c>
      <c r="B21" s="5" t="s">
        <v>120</v>
      </c>
      <c r="C21" s="5" t="s">
        <v>121</v>
      </c>
      <c r="D21" s="5" t="s">
        <v>122</v>
      </c>
      <c r="E21" s="5" t="s">
        <v>123</v>
      </c>
      <c r="F21" s="6" t="s">
        <v>13</v>
      </c>
      <c r="G21" s="6" t="s">
        <v>118</v>
      </c>
      <c r="H21" s="6" t="s">
        <v>15</v>
      </c>
    </row>
    <row r="22" customFormat="false" ht="15" hidden="false" customHeight="false" outlineLevel="0" collapsed="false">
      <c r="A22" s="5"/>
      <c r="B22" s="5"/>
      <c r="C22" s="5"/>
      <c r="D22" s="5"/>
      <c r="E22" s="5"/>
      <c r="F22" s="6"/>
      <c r="G22" s="6"/>
      <c r="H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</row>
  </sheetData>
  <conditionalFormatting sqref="F2:F100">
    <cfRule type="expression" priority="2" aboveAverage="0" equalAverage="0" bottom="0" percent="0" rank="0" text="" dxfId="4">
      <formula>F2="High"</formula>
    </cfRule>
  </conditionalFormatting>
  <conditionalFormatting sqref="H2:H100">
    <cfRule type="expression" priority="3" aboveAverage="0" equalAverage="0" bottom="0" percent="0" rank="0" text="" dxfId="5">
      <formula>H2="Done"</formula>
    </cfRule>
    <cfRule type="expression" priority="4" aboveAverage="0" equalAverage="0" bottom="0" percent="0" rank="0" text="" dxfId="6">
      <formula>H2="In progress"</formula>
    </cfRule>
  </conditionalFormatting>
  <dataValidations count="2">
    <dataValidation allowBlank="false" errorStyle="stop" operator="between" showDropDown="false" showErrorMessage="false" showInputMessage="false" sqref="F2:F100" type="list">
      <formula1>"High,Medium,Low"</formula1>
      <formula2>0</formula2>
    </dataValidation>
    <dataValidation allowBlank="false" errorStyle="stop" operator="between" showDropDown="false" showErrorMessage="false" showInputMessage="false" sqref="H2:H100" type="list">
      <formula1>"Not started,In progress,Done,Paused"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45"/>
  </cols>
  <sheetData>
    <row r="1" customFormat="false" ht="28" hidden="false" customHeight="true" outlineLevel="0" collapsed="false">
      <c r="A1" s="7" t="s">
        <v>124</v>
      </c>
      <c r="B1" s="7"/>
      <c r="C1" s="7"/>
      <c r="D1" s="7"/>
      <c r="E1" s="8"/>
      <c r="F1" s="8"/>
      <c r="G1" s="8"/>
      <c r="H1" s="8"/>
    </row>
    <row r="2" customFormat="false" ht="55" hidden="false" customHeight="true" outlineLevel="0" collapsed="false">
      <c r="A2" s="4" t="s">
        <v>125</v>
      </c>
      <c r="B2" s="4" t="s">
        <v>126</v>
      </c>
      <c r="C2" s="4" t="s">
        <v>127</v>
      </c>
      <c r="D2" s="4" t="s">
        <v>128</v>
      </c>
      <c r="E2" s="8"/>
      <c r="F2" s="8"/>
      <c r="G2" s="8"/>
      <c r="H2" s="8"/>
    </row>
    <row r="3" customFormat="false" ht="55" hidden="false" customHeight="true" outlineLevel="0" collapsed="false">
      <c r="A3" s="8" t="s">
        <v>14</v>
      </c>
      <c r="B3" s="8" t="s">
        <v>129</v>
      </c>
      <c r="C3" s="8" t="s">
        <v>130</v>
      </c>
      <c r="D3" s="8" t="s">
        <v>131</v>
      </c>
      <c r="E3" s="8"/>
      <c r="F3" s="8"/>
      <c r="G3" s="8"/>
      <c r="H3" s="8"/>
    </row>
    <row r="4" customFormat="false" ht="55" hidden="false" customHeight="true" outlineLevel="0" collapsed="false">
      <c r="A4" s="8" t="s">
        <v>38</v>
      </c>
      <c r="B4" s="8" t="s">
        <v>132</v>
      </c>
      <c r="C4" s="8" t="s">
        <v>133</v>
      </c>
      <c r="D4" s="8" t="s">
        <v>134</v>
      </c>
      <c r="E4" s="8"/>
      <c r="F4" s="8"/>
      <c r="G4" s="8"/>
      <c r="H4" s="8"/>
    </row>
    <row r="5" customFormat="false" ht="55" hidden="false" customHeight="true" outlineLevel="0" collapsed="false">
      <c r="A5" s="8" t="s">
        <v>50</v>
      </c>
      <c r="B5" s="8" t="s">
        <v>135</v>
      </c>
      <c r="C5" s="8" t="s">
        <v>136</v>
      </c>
      <c r="D5" s="8" t="s">
        <v>137</v>
      </c>
      <c r="E5" s="8"/>
      <c r="F5" s="8"/>
      <c r="G5" s="8"/>
      <c r="H5" s="8"/>
    </row>
    <row r="6" customFormat="false" ht="55" hidden="false" customHeight="true" outlineLevel="0" collapsed="false">
      <c r="A6" s="8" t="s">
        <v>63</v>
      </c>
      <c r="B6" s="8" t="s">
        <v>138</v>
      </c>
      <c r="C6" s="8" t="s">
        <v>139</v>
      </c>
      <c r="D6" s="8" t="s">
        <v>140</v>
      </c>
      <c r="E6" s="8"/>
      <c r="F6" s="8"/>
      <c r="G6" s="8"/>
      <c r="H6" s="8"/>
    </row>
    <row r="7" customFormat="false" ht="55" hidden="false" customHeight="true" outlineLevel="0" collapsed="false">
      <c r="A7" s="8" t="s">
        <v>89</v>
      </c>
      <c r="B7" s="8" t="s">
        <v>141</v>
      </c>
      <c r="C7" s="8" t="s">
        <v>142</v>
      </c>
      <c r="D7" s="8" t="s">
        <v>143</v>
      </c>
      <c r="E7" s="8"/>
      <c r="F7" s="8"/>
      <c r="G7" s="8"/>
      <c r="H7" s="8"/>
    </row>
    <row r="8" customFormat="false" ht="55" hidden="false" customHeight="true" outlineLevel="0" collapsed="false">
      <c r="A8" s="8" t="s">
        <v>118</v>
      </c>
      <c r="B8" s="8" t="s">
        <v>144</v>
      </c>
      <c r="C8" s="8" t="s">
        <v>145</v>
      </c>
      <c r="D8" s="8" t="s">
        <v>146</v>
      </c>
      <c r="E8" s="8"/>
      <c r="F8" s="8"/>
      <c r="G8" s="8"/>
      <c r="H8" s="8"/>
    </row>
    <row r="9" customFormat="false" ht="55" hidden="false" customHeight="tru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55" hidden="false" customHeight="true" outlineLevel="0" collapsed="false">
      <c r="A10" s="8" t="s">
        <v>147</v>
      </c>
      <c r="B10" s="8" t="s">
        <v>148</v>
      </c>
      <c r="C10" s="8" t="s">
        <v>149</v>
      </c>
      <c r="D10" s="8" t="s">
        <v>150</v>
      </c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4" t="s">
        <v>5</v>
      </c>
      <c r="B1" s="4" t="s">
        <v>151</v>
      </c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8" t="s">
        <v>13</v>
      </c>
      <c r="B2" s="8" t="n">
        <f aca="false">COUNTIF('Skills Roadmap'!F2:F100,"High")</f>
        <v>13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8" t="s">
        <v>62</v>
      </c>
      <c r="B3" s="8" t="n">
        <f aca="false">COUNTIF('Skills Roadmap'!F2:F100,"Medium")</f>
        <v>7</v>
      </c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 t="s">
        <v>152</v>
      </c>
      <c r="B4" s="8" t="n">
        <f aca="false">COUNTIF('Skills Roadmap'!F2:F100,"Low")</f>
        <v>0</v>
      </c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2026-06-21T15:48:52Z</dcterms:modified>
  <cp:revision>2</cp:revision>
  <dc:subject/>
  <dc:title/>
</cp:coreProperties>
</file>